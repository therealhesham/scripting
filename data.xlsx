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4شغل\المركز المالى للقطاعات فى 31-12-2024\"/>
    </mc:Choice>
  </mc:AlternateContent>
  <xr:revisionPtr revIDLastSave="0" documentId="13_ncr:1_{76E55A22-BD05-4573-A550-F92D996D671B}" xr6:coauthVersionLast="47" xr6:coauthVersionMax="47" xr10:uidLastSave="{00000000-0000-0000-0000-000000000000}"/>
  <bookViews>
    <workbookView xWindow="-120" yWindow="-120" windowWidth="20730" windowHeight="11160" tabRatio="651" xr2:uid="{786E85BD-F864-4553-83E2-BEDD235B20BC}"/>
  </bookViews>
  <sheets>
    <sheet name="قائمة المستثمرين" sheetId="1" r:id="rId1"/>
    <sheet name="عبيدالله العوفى" sheetId="39" r:id="rId2"/>
    <sheet name="سامي عبيد الله العوفي" sheetId="40" r:id="rId3"/>
    <sheet name="احمد عبيدالله" sheetId="41" r:id="rId4"/>
    <sheet name="مقبل ناجي عوض العلوني" sheetId="2" r:id="rId5"/>
    <sheet name="فايز رابح الشاماني" sheetId="4" r:id="rId6"/>
    <sheet name="احمد الشاماني" sheetId="33" r:id="rId7"/>
    <sheet name="غازي ناير الجهني" sheetId="27" r:id="rId8"/>
    <sheet name="رائد الحسيني" sheetId="3" r:id="rId9"/>
    <sheet name="مرام الصاعدي" sheetId="5" r:id="rId10"/>
    <sheet name="بدرية الصاعدي" sheetId="6" r:id="rId11"/>
    <sheet name="روان مسعد" sheetId="7" r:id="rId12"/>
    <sheet name="اميره +نسرين الصاعدي" sheetId="8" r:id="rId13"/>
    <sheet name="نوال حمدان" sheetId="9" r:id="rId14"/>
    <sheet name=" وليد نافع العوفي" sheetId="10" r:id="rId15"/>
    <sheet name="فهد الاحمدي" sheetId="11" r:id="rId16"/>
    <sheet name="نوف عبيدالله مبارك العوفي " sheetId="12" r:id="rId17"/>
    <sheet name="ايلان العوفي " sheetId="13" r:id="rId18"/>
    <sheet name="عبدالوهاب سليم" sheetId="14" r:id="rId19"/>
    <sheet name="سلطان عواد الدبيسي" sheetId="15" r:id="rId20"/>
    <sheet name="لانا العوفي" sheetId="16" r:id="rId21"/>
    <sheet name=" مريم مسعد الصاعدي" sheetId="36" r:id="rId22"/>
    <sheet name="فهد الغامدي" sheetId="18" r:id="rId23"/>
    <sheet name="ام عبدالرحمن" sheetId="20" r:id="rId24"/>
    <sheet name="نادر سليم الرشيدي " sheetId="22" r:id="rId25"/>
    <sheet name=" فهد منيف الحربي" sheetId="23" r:id="rId26"/>
    <sheet name=" بدور عبيد الله العوفي " sheetId="24" r:id="rId27"/>
    <sheet name="عبدالرحمن محمد خضر الصاعدي" sheetId="25" r:id="rId28"/>
    <sheet name=" سعيد سلطان الشهراني" sheetId="26" r:id="rId29"/>
    <sheet name="غيث العوفي" sheetId="28" r:id="rId30"/>
    <sheet name="غلا العوفي" sheetId="29" r:id="rId31"/>
    <sheet name="حنان حمدان" sheetId="30" r:id="rId32"/>
    <sheet name="ابو غلا + أبو لانا" sheetId="31" r:id="rId33"/>
    <sheet name="عبدالرحمن حمدان العوفي" sheetId="34" r:id="rId34"/>
    <sheet name="رايد حمدان العلوني الجهني" sheetId="37" r:id="rId35"/>
    <sheet name="ماطر ناير راشد العلواني الجهني" sheetId="38" r:id="rId36"/>
    <sheet name="ملك عبدالرحمن العوفى" sheetId="35" r:id="rId37"/>
  </sheets>
  <definedNames>
    <definedName name="_xlnm._FilterDatabase" localSheetId="0" hidden="1">'قائمة المستثمرين'!$A$3:$I$59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2" l="1"/>
  <c r="BL30" i="10"/>
  <c r="BL29" i="10"/>
  <c r="BL28" i="10"/>
  <c r="BL27" i="10"/>
  <c r="X27" i="10"/>
  <c r="AW28" i="10"/>
  <c r="C59" i="1"/>
  <c r="X20" i="36"/>
  <c r="X6" i="36"/>
  <c r="X10" i="36"/>
  <c r="X24" i="22" l="1"/>
  <c r="N6" i="18"/>
  <c r="AM7" i="12"/>
  <c r="AM8" i="12"/>
  <c r="AM9" i="12"/>
  <c r="AM10" i="12"/>
  <c r="AM11" i="12"/>
  <c r="AM12" i="12"/>
  <c r="AM13" i="12"/>
  <c r="AM14" i="12"/>
  <c r="AM15" i="12"/>
  <c r="AM16" i="12"/>
  <c r="AM21" i="12"/>
  <c r="AM23" i="12"/>
  <c r="AM6" i="12"/>
  <c r="AL3" i="12"/>
  <c r="AG27" i="40"/>
  <c r="AG26" i="40"/>
  <c r="AH17" i="12"/>
  <c r="AH9" i="12"/>
  <c r="BJ25" i="10"/>
  <c r="AH18" i="12" l="1"/>
  <c r="AH20" i="12" s="1"/>
  <c r="AH22" i="12" s="1"/>
  <c r="AH24" i="12" s="1"/>
  <c r="AG12" i="40" l="1"/>
  <c r="AG13" i="40"/>
  <c r="D23" i="27"/>
  <c r="AH17" i="10"/>
  <c r="J8" i="1" l="1"/>
  <c r="J16" i="1"/>
  <c r="J28" i="1"/>
  <c r="J32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I39" i="1"/>
  <c r="J39" i="1" s="1"/>
  <c r="I38" i="1"/>
  <c r="I37" i="1"/>
  <c r="I36" i="1"/>
  <c r="I35" i="1"/>
  <c r="J35" i="1" s="1"/>
  <c r="I34" i="1"/>
  <c r="I33" i="1"/>
  <c r="I32" i="1"/>
  <c r="I31" i="1"/>
  <c r="J31" i="1" s="1"/>
  <c r="I30" i="1"/>
  <c r="I29" i="1"/>
  <c r="I28" i="1"/>
  <c r="I27" i="1"/>
  <c r="J27" i="1" s="1"/>
  <c r="I26" i="1"/>
  <c r="I25" i="1"/>
  <c r="I24" i="1"/>
  <c r="I23" i="1"/>
  <c r="I22" i="1"/>
  <c r="I21" i="1"/>
  <c r="I20" i="1"/>
  <c r="I19" i="1"/>
  <c r="I18" i="1"/>
  <c r="I17" i="1"/>
  <c r="I16" i="1"/>
  <c r="I15" i="1"/>
  <c r="J15" i="1" s="1"/>
  <c r="I13" i="1"/>
  <c r="I12" i="1"/>
  <c r="I59" i="1" s="1"/>
  <c r="I11" i="1"/>
  <c r="J11" i="1" s="1"/>
  <c r="I10" i="1"/>
  <c r="I9" i="1"/>
  <c r="I8" i="1"/>
  <c r="I7" i="1"/>
  <c r="J7" i="1" s="1"/>
  <c r="I6" i="1"/>
  <c r="I5" i="1"/>
  <c r="H39" i="1"/>
  <c r="H38" i="1"/>
  <c r="J38" i="1" s="1"/>
  <c r="H37" i="1"/>
  <c r="J37" i="1" s="1"/>
  <c r="H35" i="1"/>
  <c r="H34" i="1"/>
  <c r="J34" i="1" s="1"/>
  <c r="H32" i="1"/>
  <c r="H31" i="1"/>
  <c r="H30" i="1"/>
  <c r="J30" i="1" s="1"/>
  <c r="H29" i="1"/>
  <c r="H28" i="1"/>
  <c r="H27" i="1"/>
  <c r="H16" i="1"/>
  <c r="H15" i="1"/>
  <c r="H11" i="1"/>
  <c r="H10" i="1"/>
  <c r="J10" i="1" s="1"/>
  <c r="H9" i="1"/>
  <c r="J9" i="1" s="1"/>
  <c r="H8" i="1"/>
  <c r="H7" i="1"/>
  <c r="H6" i="1"/>
  <c r="J6" i="1" s="1"/>
  <c r="H5" i="1"/>
  <c r="J5" i="1" s="1"/>
  <c r="I4" i="1"/>
  <c r="H4" i="1"/>
  <c r="G4" i="1"/>
  <c r="F4" i="1"/>
  <c r="E4" i="1"/>
  <c r="D4" i="1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6" i="35"/>
  <c r="I17" i="35"/>
  <c r="I9" i="35"/>
  <c r="D24" i="35"/>
  <c r="D22" i="35"/>
  <c r="D18" i="35"/>
  <c r="D17" i="35"/>
  <c r="D9" i="35"/>
  <c r="D24" i="38"/>
  <c r="D22" i="38"/>
  <c r="D20" i="38"/>
  <c r="D17" i="38"/>
  <c r="D9" i="38"/>
  <c r="D9" i="37"/>
  <c r="D18" i="37"/>
  <c r="D17" i="37"/>
  <c r="D17" i="34"/>
  <c r="D18" i="34" s="1"/>
  <c r="D9" i="34"/>
  <c r="M2" i="31"/>
  <c r="N9" i="31"/>
  <c r="D9" i="31"/>
  <c r="D24" i="30"/>
  <c r="D22" i="30"/>
  <c r="D20" i="30"/>
  <c r="D18" i="30"/>
  <c r="D17" i="30"/>
  <c r="D9" i="30"/>
  <c r="N7" i="29"/>
  <c r="N8" i="29"/>
  <c r="N9" i="29"/>
  <c r="N10" i="29"/>
  <c r="N11" i="29"/>
  <c r="N12" i="29"/>
  <c r="N13" i="29"/>
  <c r="N14" i="29"/>
  <c r="N15" i="29"/>
  <c r="N16" i="29"/>
  <c r="N21" i="29"/>
  <c r="N23" i="29"/>
  <c r="N6" i="29"/>
  <c r="D9" i="29"/>
  <c r="I9" i="29"/>
  <c r="N23" i="28"/>
  <c r="N24" i="28"/>
  <c r="N22" i="28"/>
  <c r="N9" i="28"/>
  <c r="N17" i="28"/>
  <c r="N20" i="28"/>
  <c r="N18" i="28"/>
  <c r="N6" i="28"/>
  <c r="N7" i="28"/>
  <c r="N8" i="28"/>
  <c r="N10" i="28"/>
  <c r="N11" i="28"/>
  <c r="N12" i="28"/>
  <c r="N13" i="28"/>
  <c r="N14" i="28"/>
  <c r="N15" i="28"/>
  <c r="N16" i="28"/>
  <c r="N19" i="28"/>
  <c r="N21" i="28"/>
  <c r="I9" i="28"/>
  <c r="D20" i="28"/>
  <c r="D18" i="28"/>
  <c r="D17" i="28"/>
  <c r="D9" i="28"/>
  <c r="D24" i="26"/>
  <c r="D22" i="26"/>
  <c r="D20" i="26"/>
  <c r="D18" i="26"/>
  <c r="D17" i="26"/>
  <c r="D9" i="26"/>
  <c r="D17" i="25"/>
  <c r="D9" i="25"/>
  <c r="D9" i="24"/>
  <c r="D17" i="24"/>
  <c r="S6" i="23"/>
  <c r="S7" i="23"/>
  <c r="S8" i="23"/>
  <c r="S9" i="23"/>
  <c r="S10" i="23"/>
  <c r="S11" i="23"/>
  <c r="S12" i="23"/>
  <c r="S13" i="23"/>
  <c r="S14" i="23"/>
  <c r="S15" i="23"/>
  <c r="S16" i="23"/>
  <c r="S21" i="23"/>
  <c r="S23" i="23"/>
  <c r="N9" i="23"/>
  <c r="X6" i="22"/>
  <c r="X7" i="22"/>
  <c r="X8" i="22"/>
  <c r="X9" i="22"/>
  <c r="X10" i="22"/>
  <c r="X11" i="22"/>
  <c r="X12" i="22"/>
  <c r="X13" i="22"/>
  <c r="X14" i="22"/>
  <c r="X15" i="22"/>
  <c r="X16" i="22"/>
  <c r="X21" i="22"/>
  <c r="X23" i="22"/>
  <c r="N7" i="18"/>
  <c r="N8" i="18"/>
  <c r="N9" i="18"/>
  <c r="N10" i="18"/>
  <c r="N11" i="18"/>
  <c r="N12" i="18"/>
  <c r="N13" i="18"/>
  <c r="N14" i="18"/>
  <c r="N15" i="18"/>
  <c r="N16" i="18"/>
  <c r="N21" i="18"/>
  <c r="N23" i="18"/>
  <c r="W3" i="36"/>
  <c r="D17" i="14"/>
  <c r="D9" i="14"/>
  <c r="D24" i="13"/>
  <c r="D22" i="13"/>
  <c r="D20" i="13"/>
  <c r="D17" i="13"/>
  <c r="D9" i="13"/>
  <c r="I14" i="1"/>
  <c r="BL7" i="10"/>
  <c r="BL8" i="10"/>
  <c r="BL9" i="10"/>
  <c r="BL10" i="10"/>
  <c r="BL11" i="10"/>
  <c r="BL12" i="10"/>
  <c r="BL13" i="10"/>
  <c r="BL14" i="10"/>
  <c r="BL15" i="10"/>
  <c r="BL16" i="10"/>
  <c r="BL21" i="10"/>
  <c r="BL23" i="10"/>
  <c r="J29" i="1" l="1"/>
  <c r="J4" i="1"/>
  <c r="D18" i="24"/>
  <c r="BG17" i="10" l="1"/>
  <c r="BL6" i="10"/>
  <c r="BG9" i="10"/>
  <c r="BB9" i="10"/>
  <c r="BG18" i="10"/>
  <c r="D9" i="10"/>
  <c r="N9" i="10"/>
  <c r="I9" i="10"/>
  <c r="N7" i="9"/>
  <c r="N8" i="9"/>
  <c r="N9" i="9"/>
  <c r="N10" i="9"/>
  <c r="N11" i="9"/>
  <c r="N12" i="9"/>
  <c r="N13" i="9"/>
  <c r="N14" i="9"/>
  <c r="N15" i="9"/>
  <c r="N16" i="9"/>
  <c r="N21" i="9"/>
  <c r="N23" i="9"/>
  <c r="D24" i="8"/>
  <c r="D22" i="8"/>
  <c r="D20" i="8"/>
  <c r="D17" i="8"/>
  <c r="D9" i="8"/>
  <c r="D24" i="7"/>
  <c r="D22" i="7"/>
  <c r="D20" i="7"/>
  <c r="D17" i="7"/>
  <c r="D9" i="7"/>
  <c r="D24" i="6"/>
  <c r="D22" i="6"/>
  <c r="D18" i="6"/>
  <c r="D20" i="6"/>
  <c r="D24" i="5"/>
  <c r="D22" i="5"/>
  <c r="D20" i="5"/>
  <c r="D17" i="5"/>
  <c r="D9" i="5"/>
  <c r="X18" i="4"/>
  <c r="X17" i="4"/>
  <c r="X9" i="4"/>
  <c r="X24" i="4"/>
  <c r="X22" i="4"/>
  <c r="X7" i="4"/>
  <c r="X8" i="4"/>
  <c r="X10" i="4"/>
  <c r="X11" i="4"/>
  <c r="X12" i="4"/>
  <c r="X13" i="4"/>
  <c r="X14" i="4"/>
  <c r="X15" i="4"/>
  <c r="X16" i="4"/>
  <c r="X19" i="4"/>
  <c r="X20" i="4"/>
  <c r="X21" i="4"/>
  <c r="X23" i="4"/>
  <c r="X6" i="4"/>
  <c r="W2" i="4"/>
  <c r="W3" i="4"/>
  <c r="I24" i="4"/>
  <c r="D24" i="4"/>
  <c r="D22" i="4"/>
  <c r="D20" i="4"/>
  <c r="D17" i="4"/>
  <c r="I9" i="4"/>
  <c r="D9" i="4"/>
  <c r="N9" i="4"/>
  <c r="S9" i="4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6" i="2"/>
  <c r="AE3" i="2"/>
  <c r="S17" i="4"/>
  <c r="AC9" i="2"/>
  <c r="X9" i="2"/>
  <c r="S9" i="2"/>
  <c r="N9" i="2"/>
  <c r="I9" i="2"/>
  <c r="D9" i="2"/>
  <c r="M2" i="41"/>
  <c r="I17" i="41"/>
  <c r="I9" i="41"/>
  <c r="D9" i="41"/>
  <c r="N7" i="41"/>
  <c r="N8" i="41"/>
  <c r="N10" i="41"/>
  <c r="N11" i="41"/>
  <c r="N12" i="41"/>
  <c r="N13" i="41"/>
  <c r="N14" i="41"/>
  <c r="N15" i="41"/>
  <c r="N16" i="41"/>
  <c r="N21" i="41"/>
  <c r="N23" i="41"/>
  <c r="N6" i="41"/>
  <c r="N9" i="41" l="1"/>
  <c r="I18" i="41"/>
  <c r="M3" i="41"/>
  <c r="AG7" i="40"/>
  <c r="AG8" i="40"/>
  <c r="AG9" i="40"/>
  <c r="AG10" i="40"/>
  <c r="AG11" i="40"/>
  <c r="AG14" i="40"/>
  <c r="AG15" i="40"/>
  <c r="AG16" i="40"/>
  <c r="AG21" i="40"/>
  <c r="G23" i="1" s="1"/>
  <c r="AG23" i="40"/>
  <c r="AG6" i="40"/>
  <c r="X9" i="40"/>
  <c r="X18" i="40" s="1"/>
  <c r="S9" i="40"/>
  <c r="N9" i="40"/>
  <c r="I9" i="40"/>
  <c r="D9" i="40"/>
  <c r="AG7" i="39"/>
  <c r="AG8" i="39"/>
  <c r="AG9" i="39"/>
  <c r="AG10" i="39"/>
  <c r="AG11" i="39"/>
  <c r="AG12" i="39"/>
  <c r="AG13" i="39"/>
  <c r="AG14" i="39"/>
  <c r="AG15" i="39"/>
  <c r="AG16" i="39"/>
  <c r="AG21" i="39"/>
  <c r="AG23" i="39"/>
  <c r="AG6" i="39"/>
  <c r="D22" i="39"/>
  <c r="D20" i="39"/>
  <c r="D17" i="39"/>
  <c r="D9" i="39"/>
  <c r="G21" i="1"/>
  <c r="G34" i="1"/>
  <c r="D17" i="41"/>
  <c r="N17" i="41" s="1"/>
  <c r="S18" i="40"/>
  <c r="S19" i="40" s="1"/>
  <c r="AB17" i="40"/>
  <c r="X17" i="40"/>
  <c r="S17" i="40"/>
  <c r="N17" i="40"/>
  <c r="I17" i="40"/>
  <c r="D17" i="40"/>
  <c r="AB9" i="40"/>
  <c r="N18" i="40"/>
  <c r="I18" i="40"/>
  <c r="AF3" i="40"/>
  <c r="N19" i="39"/>
  <c r="AB18" i="39"/>
  <c r="AB19" i="39" s="1"/>
  <c r="N18" i="39"/>
  <c r="N20" i="39" s="1"/>
  <c r="N22" i="39" s="1"/>
  <c r="N24" i="39" s="1"/>
  <c r="I18" i="39"/>
  <c r="I19" i="39" s="1"/>
  <c r="AB17" i="39"/>
  <c r="W17" i="39"/>
  <c r="S17" i="39"/>
  <c r="AG17" i="39" s="1"/>
  <c r="N17" i="39"/>
  <c r="I17" i="39"/>
  <c r="D13" i="39"/>
  <c r="AB9" i="39"/>
  <c r="D21" i="1" s="1"/>
  <c r="W9" i="39"/>
  <c r="W18" i="39" s="1"/>
  <c r="S9" i="39"/>
  <c r="N9" i="39"/>
  <c r="I9" i="39"/>
  <c r="D18" i="39"/>
  <c r="AF2" i="39"/>
  <c r="AG17" i="40" l="1"/>
  <c r="E23" i="1" s="1"/>
  <c r="AB18" i="40"/>
  <c r="AG18" i="40" s="1"/>
  <c r="E21" i="1"/>
  <c r="S18" i="39"/>
  <c r="AG18" i="39" s="1"/>
  <c r="D18" i="41"/>
  <c r="E34" i="1"/>
  <c r="D34" i="1"/>
  <c r="D23" i="1"/>
  <c r="S19" i="39"/>
  <c r="AG19" i="39" s="1"/>
  <c r="S20" i="39"/>
  <c r="I19" i="40"/>
  <c r="I20" i="40" s="1"/>
  <c r="I22" i="40" s="1"/>
  <c r="I24" i="40" s="1"/>
  <c r="D19" i="39"/>
  <c r="D24" i="39" s="1"/>
  <c r="W19" i="39"/>
  <c r="W20" i="39"/>
  <c r="W22" i="39" s="1"/>
  <c r="W24" i="39" s="1"/>
  <c r="N19" i="40"/>
  <c r="N20" i="40"/>
  <c r="X19" i="40"/>
  <c r="X20" i="40" s="1"/>
  <c r="X22" i="40" s="1"/>
  <c r="X24" i="40" s="1"/>
  <c r="D18" i="40"/>
  <c r="I20" i="39"/>
  <c r="I22" i="39" s="1"/>
  <c r="I24" i="39" s="1"/>
  <c r="S20" i="40"/>
  <c r="S22" i="40" s="1"/>
  <c r="S24" i="40" s="1"/>
  <c r="AB20" i="39"/>
  <c r="AB20" i="40" l="1"/>
  <c r="AB22" i="40" s="1"/>
  <c r="AB24" i="40" s="1"/>
  <c r="N22" i="40"/>
  <c r="N24" i="40" s="1"/>
  <c r="AG24" i="40" s="1"/>
  <c r="AG20" i="40"/>
  <c r="S22" i="39"/>
  <c r="AG20" i="39"/>
  <c r="D20" i="41"/>
  <c r="I19" i="41"/>
  <c r="I20" i="41" s="1"/>
  <c r="I22" i="41" s="1"/>
  <c r="I24" i="41" s="1"/>
  <c r="N18" i="41"/>
  <c r="D19" i="41"/>
  <c r="F21" i="1"/>
  <c r="AB22" i="39"/>
  <c r="D19" i="40"/>
  <c r="AG19" i="40" l="1"/>
  <c r="S24" i="39"/>
  <c r="AG24" i="39" s="1"/>
  <c r="AG22" i="39"/>
  <c r="H21" i="1" s="1"/>
  <c r="J21" i="1" s="1"/>
  <c r="N20" i="41"/>
  <c r="D22" i="41"/>
  <c r="N19" i="41"/>
  <c r="D20" i="40"/>
  <c r="D22" i="40"/>
  <c r="AG22" i="40" s="1"/>
  <c r="H23" i="1" s="1"/>
  <c r="F23" i="1"/>
  <c r="AB24" i="39"/>
  <c r="J23" i="1" l="1"/>
  <c r="D24" i="41"/>
  <c r="N24" i="41" s="1"/>
  <c r="N22" i="41"/>
  <c r="F34" i="1"/>
  <c r="D24" i="40"/>
  <c r="I29" i="31" l="1"/>
  <c r="I9" i="31"/>
  <c r="D30" i="31"/>
  <c r="N6" i="31" l="1"/>
  <c r="N7" i="31"/>
  <c r="N8" i="31"/>
  <c r="N10" i="31"/>
  <c r="N11" i="31"/>
  <c r="N12" i="31"/>
  <c r="N13" i="31"/>
  <c r="N14" i="31"/>
  <c r="N15" i="31"/>
  <c r="N16" i="31"/>
  <c r="N21" i="31"/>
  <c r="N23" i="31"/>
  <c r="I9" i="23"/>
  <c r="S9" i="22"/>
  <c r="N9" i="22"/>
  <c r="I9" i="22"/>
  <c r="D9" i="22"/>
  <c r="D9" i="18"/>
  <c r="D9" i="12"/>
  <c r="I9" i="12"/>
  <c r="X9" i="12"/>
  <c r="S9" i="12"/>
  <c r="N9" i="12"/>
  <c r="D9" i="15"/>
  <c r="D9" i="16"/>
  <c r="D9" i="36"/>
  <c r="I9" i="36"/>
  <c r="S9" i="36"/>
  <c r="N9" i="36"/>
  <c r="I9" i="18"/>
  <c r="X7" i="36"/>
  <c r="X8" i="36"/>
  <c r="X11" i="36"/>
  <c r="X12" i="36"/>
  <c r="X13" i="36"/>
  <c r="X14" i="36"/>
  <c r="X15" i="36"/>
  <c r="X16" i="36"/>
  <c r="X21" i="36"/>
  <c r="X23" i="36"/>
  <c r="G19" i="1"/>
  <c r="G12" i="1"/>
  <c r="G59" i="1" s="1"/>
  <c r="I17" i="10"/>
  <c r="AW9" i="10"/>
  <c r="AR9" i="10"/>
  <c r="AM9" i="10"/>
  <c r="AH9" i="10"/>
  <c r="AC9" i="10"/>
  <c r="X9" i="10"/>
  <c r="S9" i="10"/>
  <c r="D13" i="14"/>
  <c r="AC9" i="12"/>
  <c r="D16" i="11"/>
  <c r="X6" i="10"/>
  <c r="N6" i="9"/>
  <c r="D22" i="3"/>
  <c r="D24" i="3"/>
  <c r="D24" i="27"/>
  <c r="D22" i="27"/>
  <c r="D20" i="27"/>
  <c r="D18" i="27"/>
  <c r="D17" i="27"/>
  <c r="D9" i="27"/>
  <c r="D24" i="33"/>
  <c r="D22" i="33"/>
  <c r="D20" i="33"/>
  <c r="D18" i="33"/>
  <c r="D17" i="33"/>
  <c r="AC18" i="2"/>
  <c r="S6" i="2"/>
  <c r="AC17" i="2"/>
  <c r="X18" i="2"/>
  <c r="X17" i="2"/>
  <c r="I9" i="9"/>
  <c r="D9" i="3"/>
  <c r="D9" i="6"/>
  <c r="D9" i="9"/>
  <c r="D9" i="11"/>
  <c r="D9" i="20"/>
  <c r="D9" i="23"/>
  <c r="D9" i="33"/>
  <c r="BB17" i="10"/>
  <c r="BB18" i="10" s="1"/>
  <c r="AW17" i="10"/>
  <c r="AR17" i="10"/>
  <c r="AM17" i="10"/>
  <c r="AC17" i="10"/>
  <c r="D17" i="36"/>
  <c r="D29" i="3"/>
  <c r="G38" i="1"/>
  <c r="G37" i="1"/>
  <c r="G36" i="1"/>
  <c r="G35" i="1"/>
  <c r="G32" i="1"/>
  <c r="G29" i="1"/>
  <c r="G28" i="1"/>
  <c r="G27" i="1"/>
  <c r="G26" i="1"/>
  <c r="G22" i="1"/>
  <c r="G18" i="1"/>
  <c r="G17" i="1"/>
  <c r="G16" i="1"/>
  <c r="G15" i="1"/>
  <c r="G13" i="1"/>
  <c r="G10" i="1"/>
  <c r="G9" i="1"/>
  <c r="G8" i="1"/>
  <c r="G7" i="1"/>
  <c r="G5" i="1"/>
  <c r="D29" i="22"/>
  <c r="D29" i="16"/>
  <c r="D29" i="11"/>
  <c r="D30" i="4"/>
  <c r="X9" i="36" l="1"/>
  <c r="AW18" i="10"/>
  <c r="D18" i="36"/>
  <c r="BG19" i="10"/>
  <c r="AM18" i="10"/>
  <c r="AM19" i="10" s="1"/>
  <c r="AM20" i="10" s="1"/>
  <c r="AM22" i="10" s="1"/>
  <c r="AM24" i="10" s="1"/>
  <c r="AW19" i="10"/>
  <c r="AC18" i="10"/>
  <c r="AC19" i="10" s="1"/>
  <c r="AC20" i="10" s="1"/>
  <c r="AC22" i="10" s="1"/>
  <c r="AC24" i="10" s="1"/>
  <c r="X19" i="2"/>
  <c r="X20" i="2" s="1"/>
  <c r="X22" i="2" s="1"/>
  <c r="X24" i="2" s="1"/>
  <c r="AH18" i="10"/>
  <c r="AR18" i="10"/>
  <c r="AR19" i="10" s="1"/>
  <c r="AR20" i="10" s="1"/>
  <c r="AR22" i="10" s="1"/>
  <c r="AR24" i="10" s="1"/>
  <c r="D19" i="36"/>
  <c r="D20" i="36" s="1"/>
  <c r="D22" i="36" s="1"/>
  <c r="D24" i="36" s="1"/>
  <c r="AH19" i="10" l="1"/>
  <c r="BG20" i="10"/>
  <c r="BB20" i="10"/>
  <c r="BB22" i="10" s="1"/>
  <c r="BB24" i="10" s="1"/>
  <c r="AW20" i="10"/>
  <c r="AW22" i="10" s="1"/>
  <c r="AW24" i="10" s="1"/>
  <c r="AH20" i="10"/>
  <c r="G39" i="1"/>
  <c r="G33" i="1"/>
  <c r="G31" i="1"/>
  <c r="G30" i="1"/>
  <c r="G25" i="1"/>
  <c r="G24" i="1"/>
  <c r="G20" i="1"/>
  <c r="G14" i="1"/>
  <c r="G11" i="1"/>
  <c r="G6" i="1"/>
  <c r="C33" i="4"/>
  <c r="AC10" i="2"/>
  <c r="W37" i="2"/>
  <c r="I15" i="2"/>
  <c r="BG22" i="10" l="1"/>
  <c r="AH22" i="10"/>
  <c r="I29" i="18"/>
  <c r="BG24" i="10" l="1"/>
  <c r="AH24" i="10"/>
  <c r="D28" i="10"/>
  <c r="M3" i="35" l="1"/>
  <c r="D31" i="1"/>
  <c r="M3" i="29"/>
  <c r="I17" i="29"/>
  <c r="AC17" i="12"/>
  <c r="M3" i="28"/>
  <c r="I17" i="28"/>
  <c r="N17" i="4"/>
  <c r="E38" i="1"/>
  <c r="D38" i="1"/>
  <c r="E37" i="1"/>
  <c r="S17" i="36"/>
  <c r="X17" i="36" s="1"/>
  <c r="N17" i="36"/>
  <c r="I17" i="36"/>
  <c r="M3" i="31"/>
  <c r="R3" i="23"/>
  <c r="W3" i="22"/>
  <c r="M3" i="18"/>
  <c r="M3" i="9"/>
  <c r="I17" i="31"/>
  <c r="I29" i="23"/>
  <c r="N17" i="23"/>
  <c r="I17" i="23"/>
  <c r="S17" i="22"/>
  <c r="N17" i="22"/>
  <c r="I17" i="22"/>
  <c r="I17" i="18"/>
  <c r="X17" i="12"/>
  <c r="S17" i="12"/>
  <c r="N17" i="12"/>
  <c r="I17" i="12"/>
  <c r="X17" i="10"/>
  <c r="S17" i="10"/>
  <c r="N17" i="10"/>
  <c r="I17" i="9"/>
  <c r="N17" i="9" s="1"/>
  <c r="D29" i="9"/>
  <c r="I17" i="4"/>
  <c r="E36" i="1"/>
  <c r="D36" i="1"/>
  <c r="E35" i="1"/>
  <c r="D35" i="1"/>
  <c r="D17" i="31"/>
  <c r="D18" i="31" s="1"/>
  <c r="E32" i="1"/>
  <c r="D32" i="1"/>
  <c r="D17" i="29"/>
  <c r="E29" i="1"/>
  <c r="D29" i="1"/>
  <c r="E28" i="1"/>
  <c r="D28" i="1"/>
  <c r="E27" i="1"/>
  <c r="D27" i="1"/>
  <c r="E26" i="1"/>
  <c r="D26" i="1"/>
  <c r="D17" i="23"/>
  <c r="D17" i="22"/>
  <c r="D17" i="20"/>
  <c r="E22" i="1" s="1"/>
  <c r="D22" i="1"/>
  <c r="D17" i="18"/>
  <c r="D17" i="16"/>
  <c r="E18" i="1" s="1"/>
  <c r="D18" i="1"/>
  <c r="D17" i="15"/>
  <c r="E17" i="1" s="1"/>
  <c r="D17" i="1"/>
  <c r="E16" i="1"/>
  <c r="D16" i="1"/>
  <c r="E15" i="1"/>
  <c r="D15" i="1"/>
  <c r="D17" i="12"/>
  <c r="D17" i="11"/>
  <c r="E13" i="1" s="1"/>
  <c r="D13" i="1"/>
  <c r="D17" i="10"/>
  <c r="BL17" i="10" s="1"/>
  <c r="D17" i="9"/>
  <c r="E10" i="1"/>
  <c r="D10" i="1"/>
  <c r="D9" i="1"/>
  <c r="D17" i="6"/>
  <c r="E8" i="1" s="1"/>
  <c r="D8" i="1"/>
  <c r="D7" i="1"/>
  <c r="D17" i="3"/>
  <c r="E5" i="1" s="1"/>
  <c r="D5" i="1"/>
  <c r="I18" i="31" l="1"/>
  <c r="N18" i="31" s="1"/>
  <c r="N17" i="31"/>
  <c r="S17" i="23"/>
  <c r="E25" i="1" s="1"/>
  <c r="X17" i="22"/>
  <c r="E24" i="1" s="1"/>
  <c r="N17" i="18"/>
  <c r="AM17" i="12"/>
  <c r="N17" i="29"/>
  <c r="E31" i="1" s="1"/>
  <c r="E19" i="1"/>
  <c r="E20" i="1"/>
  <c r="D14" i="1"/>
  <c r="E12" i="1"/>
  <c r="E59" i="1" s="1"/>
  <c r="D12" i="1"/>
  <c r="D59" i="1" s="1"/>
  <c r="E11" i="1"/>
  <c r="E9" i="1"/>
  <c r="D18" i="7"/>
  <c r="D19" i="7" s="1"/>
  <c r="E7" i="1"/>
  <c r="D18" i="5"/>
  <c r="E6" i="1"/>
  <c r="D18" i="18"/>
  <c r="D19" i="1"/>
  <c r="D19" i="37"/>
  <c r="D20" i="37" s="1"/>
  <c r="D22" i="37" s="1"/>
  <c r="D24" i="37" s="1"/>
  <c r="D37" i="1"/>
  <c r="D19" i="35"/>
  <c r="S18" i="36"/>
  <c r="E30" i="1"/>
  <c r="E33" i="1"/>
  <c r="S18" i="22"/>
  <c r="E14" i="1"/>
  <c r="I18" i="36"/>
  <c r="I19" i="36" s="1"/>
  <c r="I20" i="36" s="1"/>
  <c r="I22" i="36" s="1"/>
  <c r="I24" i="36" s="1"/>
  <c r="N18" i="36"/>
  <c r="E39" i="1"/>
  <c r="D39" i="1"/>
  <c r="I18" i="35"/>
  <c r="D18" i="38"/>
  <c r="D19" i="38" s="1"/>
  <c r="D19" i="34"/>
  <c r="D20" i="34" s="1"/>
  <c r="D22" i="34" s="1"/>
  <c r="D19" i="30"/>
  <c r="I18" i="29"/>
  <c r="D18" i="29"/>
  <c r="N18" i="29" s="1"/>
  <c r="I18" i="28"/>
  <c r="I19" i="28" s="1"/>
  <c r="I20" i="28" s="1"/>
  <c r="I22" i="28" s="1"/>
  <c r="I24" i="28" s="1"/>
  <c r="D19" i="27"/>
  <c r="D19" i="26"/>
  <c r="D18" i="25"/>
  <c r="D19" i="24"/>
  <c r="D20" i="24" s="1"/>
  <c r="D22" i="24" s="1"/>
  <c r="I18" i="23"/>
  <c r="I19" i="23" s="1"/>
  <c r="I20" i="23" s="1"/>
  <c r="I22" i="23" s="1"/>
  <c r="I24" i="23" s="1"/>
  <c r="D18" i="23"/>
  <c r="N18" i="22"/>
  <c r="I18" i="22"/>
  <c r="I19" i="22" s="1"/>
  <c r="I20" i="22" s="1"/>
  <c r="I22" i="22" s="1"/>
  <c r="I24" i="22" s="1"/>
  <c r="D18" i="22"/>
  <c r="D18" i="20"/>
  <c r="D19" i="20" s="1"/>
  <c r="D20" i="20" s="1"/>
  <c r="D22" i="20" s="1"/>
  <c r="I18" i="18"/>
  <c r="I19" i="18" s="1"/>
  <c r="I20" i="18" s="1"/>
  <c r="I22" i="18" s="1"/>
  <c r="I24" i="18" s="1"/>
  <c r="D18" i="15"/>
  <c r="D19" i="15" s="1"/>
  <c r="D20" i="15" s="1"/>
  <c r="D22" i="15" s="1"/>
  <c r="D18" i="14"/>
  <c r="D19" i="14" s="1"/>
  <c r="D20" i="14" s="1"/>
  <c r="D22" i="14" s="1"/>
  <c r="D24" i="14" s="1"/>
  <c r="D18" i="13"/>
  <c r="D19" i="13" s="1"/>
  <c r="AC18" i="12"/>
  <c r="X18" i="12"/>
  <c r="X19" i="12" s="1"/>
  <c r="X20" i="12" s="1"/>
  <c r="N18" i="12"/>
  <c r="I18" i="12"/>
  <c r="I19" i="12" s="1"/>
  <c r="I20" i="12" s="1"/>
  <c r="D18" i="12"/>
  <c r="D18" i="11"/>
  <c r="D19" i="11" s="1"/>
  <c r="D20" i="11" s="1"/>
  <c r="D22" i="11" s="1"/>
  <c r="D18" i="9"/>
  <c r="D18" i="8"/>
  <c r="D19" i="8" s="1"/>
  <c r="D19" i="6"/>
  <c r="N18" i="4"/>
  <c r="N19" i="4" s="1"/>
  <c r="N20" i="4" s="1"/>
  <c r="N22" i="4" s="1"/>
  <c r="N24" i="4" s="1"/>
  <c r="D18" i="10"/>
  <c r="N18" i="10"/>
  <c r="N19" i="10" s="1"/>
  <c r="N20" i="10" s="1"/>
  <c r="N22" i="10" s="1"/>
  <c r="N24" i="10" s="1"/>
  <c r="N18" i="23"/>
  <c r="S18" i="10"/>
  <c r="S19" i="10" s="1"/>
  <c r="S20" i="10" s="1"/>
  <c r="S22" i="10" s="1"/>
  <c r="S24" i="10" s="1"/>
  <c r="D33" i="1"/>
  <c r="D25" i="1"/>
  <c r="D24" i="1"/>
  <c r="S18" i="12"/>
  <c r="S19" i="12" s="1"/>
  <c r="S20" i="12" s="1"/>
  <c r="D11" i="1"/>
  <c r="D30" i="1"/>
  <c r="D18" i="4"/>
  <c r="D6" i="1"/>
  <c r="I18" i="4"/>
  <c r="I19" i="4" s="1"/>
  <c r="I20" i="4" s="1"/>
  <c r="I22" i="4" s="1"/>
  <c r="S18" i="4"/>
  <c r="D18" i="3"/>
  <c r="D20" i="3" s="1"/>
  <c r="D18" i="16"/>
  <c r="D19" i="16" s="1"/>
  <c r="X18" i="10"/>
  <c r="I18" i="10"/>
  <c r="I18" i="9"/>
  <c r="N18" i="9" s="1"/>
  <c r="D24" i="34" l="1"/>
  <c r="H36" i="1"/>
  <c r="J36" i="1" s="1"/>
  <c r="D24" i="24"/>
  <c r="H26" i="1"/>
  <c r="J26" i="1" s="1"/>
  <c r="D19" i="23"/>
  <c r="S18" i="23"/>
  <c r="N19" i="22"/>
  <c r="X18" i="22"/>
  <c r="D24" i="20"/>
  <c r="H22" i="1"/>
  <c r="J22" i="1" s="1"/>
  <c r="N18" i="18"/>
  <c r="D24" i="15"/>
  <c r="H17" i="1"/>
  <c r="J17" i="1" s="1"/>
  <c r="N19" i="12"/>
  <c r="AM18" i="12"/>
  <c r="D24" i="11"/>
  <c r="H13" i="1"/>
  <c r="J13" i="1" s="1"/>
  <c r="BL18" i="10"/>
  <c r="I19" i="29"/>
  <c r="D19" i="25"/>
  <c r="D20" i="25"/>
  <c r="D22" i="25" s="1"/>
  <c r="D24" i="25" s="1"/>
  <c r="S19" i="36"/>
  <c r="S20" i="36" s="1"/>
  <c r="X18" i="36"/>
  <c r="I19" i="10"/>
  <c r="S19" i="4"/>
  <c r="D19" i="31"/>
  <c r="D19" i="22"/>
  <c r="S19" i="22"/>
  <c r="I22" i="12"/>
  <c r="I24" i="12" s="1"/>
  <c r="X22" i="12"/>
  <c r="X24" i="12" s="1"/>
  <c r="S22" i="12"/>
  <c r="S24" i="12" s="1"/>
  <c r="N19" i="36"/>
  <c r="D19" i="18"/>
  <c r="N19" i="18" s="1"/>
  <c r="AC19" i="12"/>
  <c r="D19" i="10"/>
  <c r="BL19" i="10" s="1"/>
  <c r="D19" i="5"/>
  <c r="D19" i="33"/>
  <c r="F13" i="1"/>
  <c r="F37" i="1"/>
  <c r="D20" i="1"/>
  <c r="F9" i="1"/>
  <c r="F26" i="1"/>
  <c r="F32" i="1"/>
  <c r="F10" i="1"/>
  <c r="F15" i="1"/>
  <c r="F36" i="1"/>
  <c r="F8" i="1"/>
  <c r="F17" i="1"/>
  <c r="F29" i="1"/>
  <c r="D19" i="9"/>
  <c r="F16" i="1"/>
  <c r="F22" i="1"/>
  <c r="F28" i="1"/>
  <c r="F38" i="1"/>
  <c r="D19" i="29"/>
  <c r="D19" i="28"/>
  <c r="N19" i="23"/>
  <c r="F5" i="1"/>
  <c r="D19" i="4"/>
  <c r="I19" i="31"/>
  <c r="X19" i="10"/>
  <c r="I19" i="35"/>
  <c r="I20" i="35" s="1"/>
  <c r="I22" i="35" s="1"/>
  <c r="I24" i="35" s="1"/>
  <c r="D20" i="35"/>
  <c r="D19" i="12"/>
  <c r="D20" i="16"/>
  <c r="D22" i="16" s="1"/>
  <c r="I19" i="9"/>
  <c r="D20" i="23" l="1"/>
  <c r="S19" i="23"/>
  <c r="N20" i="22"/>
  <c r="X19" i="22"/>
  <c r="D24" i="16"/>
  <c r="H18" i="1"/>
  <c r="J18" i="1" s="1"/>
  <c r="N20" i="12"/>
  <c r="AM19" i="12"/>
  <c r="N19" i="29"/>
  <c r="I20" i="29"/>
  <c r="F27" i="1"/>
  <c r="S22" i="36"/>
  <c r="I20" i="10"/>
  <c r="I20" i="9"/>
  <c r="N19" i="9"/>
  <c r="S20" i="4"/>
  <c r="D20" i="31"/>
  <c r="N19" i="31"/>
  <c r="D20" i="22"/>
  <c r="D22" i="22" s="1"/>
  <c r="D24" i="22" s="1"/>
  <c r="S20" i="22"/>
  <c r="S22" i="22" s="1"/>
  <c r="S24" i="22" s="1"/>
  <c r="N20" i="36"/>
  <c r="X19" i="36"/>
  <c r="D20" i="18"/>
  <c r="AC20" i="12"/>
  <c r="D20" i="10"/>
  <c r="F7" i="1"/>
  <c r="F35" i="1"/>
  <c r="F18" i="1"/>
  <c r="D20" i="9"/>
  <c r="I20" i="31"/>
  <c r="I22" i="31" s="1"/>
  <c r="I24" i="31" s="1"/>
  <c r="D20" i="29"/>
  <c r="N20" i="23"/>
  <c r="X20" i="10"/>
  <c r="D20" i="12"/>
  <c r="S17" i="2"/>
  <c r="D17" i="2"/>
  <c r="I17" i="2"/>
  <c r="N17" i="2"/>
  <c r="D22" i="23" l="1"/>
  <c r="S20" i="23"/>
  <c r="N22" i="22"/>
  <c r="X20" i="22"/>
  <c r="F24" i="1" s="1"/>
  <c r="F20" i="1"/>
  <c r="N20" i="18"/>
  <c r="AM20" i="12"/>
  <c r="N22" i="12"/>
  <c r="D22" i="12"/>
  <c r="BL20" i="10"/>
  <c r="F39" i="1"/>
  <c r="N20" i="29"/>
  <c r="I22" i="29"/>
  <c r="F31" i="1"/>
  <c r="N22" i="23"/>
  <c r="N24" i="23" s="1"/>
  <c r="S24" i="36"/>
  <c r="I22" i="10"/>
  <c r="I22" i="9"/>
  <c r="N20" i="9"/>
  <c r="F11" i="1" s="1"/>
  <c r="D22" i="9"/>
  <c r="S22" i="4"/>
  <c r="D22" i="31"/>
  <c r="N20" i="31"/>
  <c r="F33" i="1" s="1"/>
  <c r="D22" i="28"/>
  <c r="N22" i="36"/>
  <c r="X22" i="36" s="1"/>
  <c r="H19" i="1" s="1"/>
  <c r="J19" i="1" s="1"/>
  <c r="F19" i="1"/>
  <c r="D22" i="18"/>
  <c r="N22" i="18" s="1"/>
  <c r="H20" i="1" s="1"/>
  <c r="J20" i="1" s="1"/>
  <c r="AC22" i="12"/>
  <c r="AC24" i="12" s="1"/>
  <c r="D22" i="10"/>
  <c r="X22" i="10"/>
  <c r="X24" i="10" s="1"/>
  <c r="D22" i="29"/>
  <c r="AC19" i="2"/>
  <c r="AC20" i="2" s="1"/>
  <c r="AC22" i="2" s="1"/>
  <c r="AC24" i="2" s="1"/>
  <c r="I18" i="2"/>
  <c r="I19" i="2" s="1"/>
  <c r="I20" i="2" s="1"/>
  <c r="I22" i="2" s="1"/>
  <c r="I24" i="2" s="1"/>
  <c r="S18" i="2"/>
  <c r="S19" i="2" s="1"/>
  <c r="S20" i="2" s="1"/>
  <c r="S22" i="2" s="1"/>
  <c r="S24" i="2" s="1"/>
  <c r="S22" i="23" l="1"/>
  <c r="H25" i="1" s="1"/>
  <c r="J25" i="1" s="1"/>
  <c r="D24" i="23"/>
  <c r="S24" i="23" s="1"/>
  <c r="N24" i="22"/>
  <c r="X22" i="22"/>
  <c r="H24" i="1" s="1"/>
  <c r="J24" i="1" s="1"/>
  <c r="AM22" i="12"/>
  <c r="H14" i="1" s="1"/>
  <c r="J14" i="1" s="1"/>
  <c r="N24" i="12"/>
  <c r="D24" i="12"/>
  <c r="BL22" i="10"/>
  <c r="H12" i="1" s="1"/>
  <c r="H59" i="1" s="1"/>
  <c r="D24" i="29"/>
  <c r="N22" i="29"/>
  <c r="I24" i="29"/>
  <c r="I24" i="10"/>
  <c r="I24" i="9"/>
  <c r="N24" i="9" s="1"/>
  <c r="N22" i="9"/>
  <c r="D24" i="9"/>
  <c r="S24" i="4"/>
  <c r="D24" i="31"/>
  <c r="N24" i="31" s="1"/>
  <c r="N22" i="31"/>
  <c r="H33" i="1" s="1"/>
  <c r="J33" i="1" s="1"/>
  <c r="D24" i="28"/>
  <c r="F30" i="1"/>
  <c r="F25" i="1"/>
  <c r="D24" i="18"/>
  <c r="N24" i="18" s="1"/>
  <c r="N24" i="36"/>
  <c r="X24" i="36" s="1"/>
  <c r="F14" i="1"/>
  <c r="D24" i="10"/>
  <c r="BL24" i="10" s="1"/>
  <c r="BL26" i="10" s="1"/>
  <c r="F12" i="1"/>
  <c r="F59" i="1" s="1"/>
  <c r="F6" i="1"/>
  <c r="D18" i="2"/>
  <c r="N19" i="2"/>
  <c r="N20" i="2" s="1"/>
  <c r="N22" i="2" s="1"/>
  <c r="N24" i="2" s="1"/>
  <c r="AM24" i="12" l="1"/>
  <c r="J12" i="1"/>
  <c r="J59" i="1" s="1"/>
  <c r="N24" i="29"/>
  <c r="D19" i="2"/>
  <c r="D20" i="2" l="1"/>
  <c r="D22" i="2" l="1"/>
  <c r="D24" i="2" l="1"/>
</calcChain>
</file>

<file path=xl/sharedStrings.xml><?xml version="1.0" encoding="utf-8"?>
<sst xmlns="http://schemas.openxmlformats.org/spreadsheetml/2006/main" count="3153" uniqueCount="334">
  <si>
    <t>اسم المستثمر</t>
  </si>
  <si>
    <t>نوع السيارة</t>
  </si>
  <si>
    <t>رقم اللوحة</t>
  </si>
  <si>
    <t>م</t>
  </si>
  <si>
    <t>بيجاس2022</t>
  </si>
  <si>
    <t>د ي ر 9714</t>
  </si>
  <si>
    <t>الحساب</t>
  </si>
  <si>
    <t>المبلغ</t>
  </si>
  <si>
    <t>ايراد تشغيل</t>
  </si>
  <si>
    <t>اجمالي ايراد السيارة</t>
  </si>
  <si>
    <t>صافي الربح/الخسارة</t>
  </si>
  <si>
    <t>ما  تم سحبه من قبل المستمر</t>
  </si>
  <si>
    <t>المتبقي</t>
  </si>
  <si>
    <t>الاسم</t>
  </si>
  <si>
    <t>تاريخ المطالبه</t>
  </si>
  <si>
    <t>رقم المطالبة</t>
  </si>
  <si>
    <t>مبلغ المديونية</t>
  </si>
  <si>
    <t>فواز بن سلمان بن سمران المحياوي</t>
  </si>
  <si>
    <t>يارس أبيض 2021</t>
  </si>
  <si>
    <t xml:space="preserve">2068 د ه و </t>
  </si>
  <si>
    <t>نسبة التشغيل من الإيرادات (30%)</t>
  </si>
  <si>
    <t>نسبة الربح من الإيرادات (70%)</t>
  </si>
  <si>
    <t>اكسنت2020</t>
  </si>
  <si>
    <t>د م ا 9368</t>
  </si>
  <si>
    <t>مديونية السيارة</t>
  </si>
  <si>
    <t>رقم المطالبه</t>
  </si>
  <si>
    <t>عبدالله وهيب محمد طباخ</t>
  </si>
  <si>
    <t>اتراج2022</t>
  </si>
  <si>
    <t>د ل ص 4738</t>
  </si>
  <si>
    <t>تاريخ المطالبة</t>
  </si>
  <si>
    <t>جميل نور احمد امداد حسين منير الزمان</t>
  </si>
  <si>
    <t>يارس 2023</t>
  </si>
  <si>
    <t xml:space="preserve">1232 ر د ب </t>
  </si>
  <si>
    <t>احمد رجاءالله الرفاعي</t>
  </si>
  <si>
    <t>المتابعة مع الشئون القانونية</t>
  </si>
  <si>
    <t>يارس فضي 2021</t>
  </si>
  <si>
    <t xml:space="preserve">2067 د ه و </t>
  </si>
  <si>
    <t>فهد علي مصلح العوفي</t>
  </si>
  <si>
    <t>تقرير المستثمر :   مقبل ناجي عوض العلوني   ( 31-12-2024 )</t>
  </si>
  <si>
    <t xml:space="preserve">مصاريف نقل +اشتراكات أجهزة التتبع+بنزين +غسيل  </t>
  </si>
  <si>
    <t xml:space="preserve">مصروف فحص دوري وكرت تشغيل  </t>
  </si>
  <si>
    <t xml:space="preserve">2102 عمولات بنكية على المشتريات   </t>
  </si>
  <si>
    <t xml:space="preserve">اصلاحات من حوادث  </t>
  </si>
  <si>
    <t xml:space="preserve">مصاريف تأمينات السيارات  </t>
  </si>
  <si>
    <t xml:space="preserve">مصاريف غيار زيت  </t>
  </si>
  <si>
    <t>العدد</t>
  </si>
  <si>
    <t>تقرير المستثمر :   مقبل ناجي عوض العلوني   ( 31-12-2024 ) - اجمالى السيارات</t>
  </si>
  <si>
    <t>عدد السيارات</t>
  </si>
  <si>
    <t>اجمـالى مصروفات التشغيل</t>
  </si>
  <si>
    <t>2070 DHU</t>
  </si>
  <si>
    <t>تاريخ الحادث يوم 2022/12/3</t>
  </si>
  <si>
    <t>مبلغ  مطالبة شركة تامين الراجحي = 35344</t>
  </si>
  <si>
    <t>محمد مشعل عويد المهلكي المطيري</t>
  </si>
  <si>
    <t>المتابعه مه الشئون القانونية</t>
  </si>
  <si>
    <t>هشام عبدالله احمد ابو حمود</t>
  </si>
  <si>
    <t>الإجمالي</t>
  </si>
  <si>
    <t>تقرير المستثمر : رائد الحسيني        ( 31-12-2024 )</t>
  </si>
  <si>
    <t>تقرير المستثمر :   فايز رابح الشاماني  ( 31-12-2024 )</t>
  </si>
  <si>
    <t>2071 DHU</t>
  </si>
  <si>
    <t>احمد يوسف عمران القعيمري الرشيدي</t>
  </si>
  <si>
    <t>محمد علي توفيق حجازي</t>
  </si>
  <si>
    <t>تركي فليح العنزي</t>
  </si>
  <si>
    <t>2073 DHU</t>
  </si>
  <si>
    <t>حالة المطالبة</t>
  </si>
  <si>
    <t>محمد وليد احمد الزيني</t>
  </si>
  <si>
    <t>المتابعه مع الشئون القانونية</t>
  </si>
  <si>
    <t>تقرير المستثمر : مرام الصاعدي   ( 31-12-2024 )</t>
  </si>
  <si>
    <t>د ي ر 9713</t>
  </si>
  <si>
    <t>تقرير المستثمر :  بدرية الصاعدي  ( 31-12-2024 )</t>
  </si>
  <si>
    <t>د ي ر 9712</t>
  </si>
  <si>
    <t>تقرير المستثمر : روان مسعد   ( 31-12-2024 )</t>
  </si>
  <si>
    <t>د ي ر 9711</t>
  </si>
  <si>
    <t>فيصل مرزوق منور الردادي</t>
  </si>
  <si>
    <t>تقرير المستثمر : اميره +نسرين الصاعدي    ( 31-12-2024 )</t>
  </si>
  <si>
    <t>د ي ر 9710</t>
  </si>
  <si>
    <t>تقرير المستثمر :  نوال حمدان  ( 31-12-2024 )</t>
  </si>
  <si>
    <t>د ي ر9573</t>
  </si>
  <si>
    <t>احمد محمد حسن الحمدي</t>
  </si>
  <si>
    <t>نظيم الدين</t>
  </si>
  <si>
    <t>بيجاس2023</t>
  </si>
  <si>
    <t xml:space="preserve">ر ر س 5466 </t>
  </si>
  <si>
    <t>تقرير المستثمر :   وليد نافع العوفي  ( 31-12-2024 )</t>
  </si>
  <si>
    <t>اتراج</t>
  </si>
  <si>
    <t>ر ا ل 7852</t>
  </si>
  <si>
    <t>د ي ر9572</t>
  </si>
  <si>
    <t>يارس2023</t>
  </si>
  <si>
    <t>يارس</t>
  </si>
  <si>
    <t>ر ر س 6223</t>
  </si>
  <si>
    <t>بيجاس</t>
  </si>
  <si>
    <t>ر ر س 5467</t>
  </si>
  <si>
    <t xml:space="preserve">صني 2020 </t>
  </si>
  <si>
    <t xml:space="preserve">3108 د م أ </t>
  </si>
  <si>
    <t>انيس صالح صالح الضيباني</t>
  </si>
  <si>
    <t>محمود محمد الامين</t>
  </si>
  <si>
    <t>محمد نصر عبدالله المصباحي</t>
  </si>
  <si>
    <t>تقرير المستثمر :  فهد الاحمدي  ( 31-12-2024 )</t>
  </si>
  <si>
    <t>د ي ر9571</t>
  </si>
  <si>
    <t>يزيد عيد سلمان المليبي</t>
  </si>
  <si>
    <t>د ي ر9568</t>
  </si>
  <si>
    <t xml:space="preserve">3109 د م أ </t>
  </si>
  <si>
    <t>اتراج2021</t>
  </si>
  <si>
    <t>د ه ر 7516</t>
  </si>
  <si>
    <t>كيا بيجاس 2023</t>
  </si>
  <si>
    <t>2231 ر د ن</t>
  </si>
  <si>
    <t>فيلوز2023</t>
  </si>
  <si>
    <t>ر ر س 5815</t>
  </si>
  <si>
    <t>تقرير المستثمر :   ايلان العوفي  ( 31-12-2024 )</t>
  </si>
  <si>
    <t>رايز 2023</t>
  </si>
  <si>
    <t xml:space="preserve">3474 ر ر م </t>
  </si>
  <si>
    <t>تقرير المستثمر :  عبدالوهاب سليم  ( 31-12-2024 )</t>
  </si>
  <si>
    <t xml:space="preserve">3475 ر ر م </t>
  </si>
  <si>
    <t>تقرير المستثمر :  سلطان عواد الدبيسي ( 31-12-2024 )</t>
  </si>
  <si>
    <t>د ي ر9567</t>
  </si>
  <si>
    <t>تقرير المستثمر :  لانا العوفي  ( 31-12-2024 )</t>
  </si>
  <si>
    <t>ر ر س 5945</t>
  </si>
  <si>
    <t>تاريخ المديونية</t>
  </si>
  <si>
    <t>سلمان عبدالله شتيان السهلي الحربي</t>
  </si>
  <si>
    <t>اكسنت2022</t>
  </si>
  <si>
    <t>ر ا ه 8781</t>
  </si>
  <si>
    <t>تقرير المستثمر :  فهد الغامدي ( 31-12-2024 )</t>
  </si>
  <si>
    <t>ر ا ل 7858</t>
  </si>
  <si>
    <t>ر ا ل 7853</t>
  </si>
  <si>
    <t>مهند عيد سالم الحجوري</t>
  </si>
  <si>
    <t xml:space="preserve"> </t>
  </si>
  <si>
    <t>سيف ذياب عواد المرواني</t>
  </si>
  <si>
    <t>ر ا ل 7857</t>
  </si>
  <si>
    <t>تقرير المستثمر :  عبيدالله مبارك العوفي  ( 31-12-2024 )</t>
  </si>
  <si>
    <t>ر ا ل 7856</t>
  </si>
  <si>
    <t>ر ا ل 7855</t>
  </si>
  <si>
    <t>ر ر س 5431</t>
  </si>
  <si>
    <t xml:space="preserve">يارس فضي 2021 </t>
  </si>
  <si>
    <t xml:space="preserve">2064 د ه و </t>
  </si>
  <si>
    <t xml:space="preserve">2066 د ه و </t>
  </si>
  <si>
    <t>صالح زينهم عبدالعزيز حسن</t>
  </si>
  <si>
    <t>محمود عبدالحليم محمود محمد</t>
  </si>
  <si>
    <t>تقرير المستثمر : ام عبدالرحمن   ( 31-12-2024 )</t>
  </si>
  <si>
    <t>اتراج 2022</t>
  </si>
  <si>
    <t>ر ا ل 7854</t>
  </si>
  <si>
    <t>ريان جميل ابراهيم السقا</t>
  </si>
  <si>
    <t>تقرير المستثمر :  سامي عبيد الله العوفي  ( 31-12-2024 )</t>
  </si>
  <si>
    <t>ر ا ل 7847</t>
  </si>
  <si>
    <t>ر ر س 5432</t>
  </si>
  <si>
    <t>تقرير المستثمر :  نادر سليم الرشيدي  ( 31-12-2024 )</t>
  </si>
  <si>
    <t>ر ا ل 7848</t>
  </si>
  <si>
    <t>ر ر س 5946</t>
  </si>
  <si>
    <t xml:space="preserve">2063 د ه و </t>
  </si>
  <si>
    <t>هايلوكس 2021</t>
  </si>
  <si>
    <t>ب ر أ 2792</t>
  </si>
  <si>
    <t>حنين مسلم عايج الحجيلي</t>
  </si>
  <si>
    <t>حالة المطالبه</t>
  </si>
  <si>
    <t>تقرير المستثمر :   فهد منيف الحربي ( 31-12-2024 )</t>
  </si>
  <si>
    <t>اتراج 2021</t>
  </si>
  <si>
    <t>ر ا ل 7598</t>
  </si>
  <si>
    <t>ر ا ل 7597</t>
  </si>
  <si>
    <t>ر ا ل 7596</t>
  </si>
  <si>
    <t>محمد علي عبدالمنعم محمد علي التوم</t>
  </si>
  <si>
    <t>رزق رمضان عبدالغفار</t>
  </si>
  <si>
    <t>تقرير المستثمر :  بدور عبيد الله العوفي    ( 31-12-2024 )</t>
  </si>
  <si>
    <t>ر ا ل 7517</t>
  </si>
  <si>
    <t>تقرير المستثمر :  عبدالرحمن محمد خضر الصاعدي ( 31-12-2024 )</t>
  </si>
  <si>
    <t>كامري 2023</t>
  </si>
  <si>
    <t>ر ر س 6426</t>
  </si>
  <si>
    <t>تقرير المستثمر :   سعيد سلطان الشهراني  ( 31-12-2024 )</t>
  </si>
  <si>
    <t>ر ر س 6219</t>
  </si>
  <si>
    <t>تقرير المستثمر :  غازي ناير الجهني  ( 31-12-2024 )</t>
  </si>
  <si>
    <t>بيجاس 2023</t>
  </si>
  <si>
    <t>ر ر س 6029</t>
  </si>
  <si>
    <t>تقرير المستثمر :   غيث العوفي  ( 31-12-2024 )</t>
  </si>
  <si>
    <t>ر ر س 5490</t>
  </si>
  <si>
    <t>تقرير المستثمر :  غلا العوفي ( 31-12-2024 )</t>
  </si>
  <si>
    <t>ر ر س5489</t>
  </si>
  <si>
    <t>تقرير المستثمر : حنان حمدان   ( 31-12-2024 )</t>
  </si>
  <si>
    <t xml:space="preserve">ر ر س 5465 </t>
  </si>
  <si>
    <t>تقرير المستثمر :   ابو غلا + أبو لانا ( 31-12-2024 )</t>
  </si>
  <si>
    <t>سوناتا 2023</t>
  </si>
  <si>
    <t>ر ح ر 5459</t>
  </si>
  <si>
    <t>خالد صلحي عاطي العجبه الذبياني</t>
  </si>
  <si>
    <t>المتابعة مع الشئئون القانونية</t>
  </si>
  <si>
    <t xml:space="preserve">  كامري ابيض 2021</t>
  </si>
  <si>
    <t xml:space="preserve">2065 د ه و </t>
  </si>
  <si>
    <t>عايض سلمان حاد العنزي</t>
  </si>
  <si>
    <t>فيصل هليل سالم المهيمزي الرشيدي</t>
  </si>
  <si>
    <t>تقرير المستثمر :   عبيدالله مبارك العوفي ( 31-12-2024 )</t>
  </si>
  <si>
    <t>2072 DHU</t>
  </si>
  <si>
    <t>2074 DHU</t>
  </si>
  <si>
    <t>2075 DHU</t>
  </si>
  <si>
    <t>حنان دسوقي توفيق عبدالمنعم</t>
  </si>
  <si>
    <t>تقرير المستثمر :  احمد الشاماني  ( 31-12-2024 )</t>
  </si>
  <si>
    <t>ر د ن  1016</t>
  </si>
  <si>
    <t>تقرير المستثمر :  عبدالرحمن حمدان العوفي ( 31-12-2024 )</t>
  </si>
  <si>
    <t>لكزس 2022</t>
  </si>
  <si>
    <t>ر ح س 5573</t>
  </si>
  <si>
    <t>رائد الحسيني</t>
  </si>
  <si>
    <t>فايز رابح الشاماني</t>
  </si>
  <si>
    <t>مرام الصاعدي</t>
  </si>
  <si>
    <t>بدرية الصاعدي</t>
  </si>
  <si>
    <t>روان مسعد</t>
  </si>
  <si>
    <t>اميره +نسرين الصاعدي</t>
  </si>
  <si>
    <t>نوال حمدان</t>
  </si>
  <si>
    <t xml:space="preserve"> وليد نافع العوفي</t>
  </si>
  <si>
    <t>فهد الاحمدي</t>
  </si>
  <si>
    <t xml:space="preserve">نوف عبيدالله مبارك العوفي </t>
  </si>
  <si>
    <t xml:space="preserve">ايلان العوفي </t>
  </si>
  <si>
    <t>عبدالوهاب سليم</t>
  </si>
  <si>
    <t>سلطان عواد الدبيسي</t>
  </si>
  <si>
    <t>لانا العوفي</t>
  </si>
  <si>
    <t>فهد الغامدى</t>
  </si>
  <si>
    <t>عبيدالله مبارك العوفي</t>
  </si>
  <si>
    <t>أم عبدالرحمن</t>
  </si>
  <si>
    <t>سامي عبيد الله العوفي</t>
  </si>
  <si>
    <t>نادر سليم الرشيدي</t>
  </si>
  <si>
    <t>فهد منيف الحربي</t>
  </si>
  <si>
    <t>بدور عبيدالله العوفى</t>
  </si>
  <si>
    <t>عبدالرحمن محمد خضر الصاعدي</t>
  </si>
  <si>
    <t>سعيد سلطان الشهراني</t>
  </si>
  <si>
    <t>غازى ناير الجهني</t>
  </si>
  <si>
    <t>غيث العوفى</t>
  </si>
  <si>
    <t>غلا العوفى</t>
  </si>
  <si>
    <t>حنان حمدان</t>
  </si>
  <si>
    <t>ابوغلا+ أبو لانا</t>
  </si>
  <si>
    <t>احمد الشاماني</t>
  </si>
  <si>
    <t>عبدالرحمن حمدان العوفى</t>
  </si>
  <si>
    <t>تقرير المستثمر :  نوف عبيد الله مبارك العوفى ( 31-12-2024 )</t>
  </si>
  <si>
    <t>تقرير المستثمر :  ملك عبدالرحمن العوفى ( 31-12-2024 )</t>
  </si>
  <si>
    <t>Hyundai I 10 -2024</t>
  </si>
  <si>
    <t>ر ك س 3495</t>
  </si>
  <si>
    <t>ر ك س 3568</t>
  </si>
  <si>
    <t>تقرير المستثمر :   مريم مسعد الصاعدي ( 31-12-2024 )</t>
  </si>
  <si>
    <t>ر ن ع 5362</t>
  </si>
  <si>
    <t>ر ن ع 5364</t>
  </si>
  <si>
    <t>Hyundai I 10 -2025</t>
  </si>
  <si>
    <t>تقرير المستثمر :  رايد حمدان العلوني الجهني ( 31-12-2024 )</t>
  </si>
  <si>
    <t>كيا بيجاس 2024</t>
  </si>
  <si>
    <t>ر ع ي 2925</t>
  </si>
  <si>
    <t>تويوتا يارس 2024</t>
  </si>
  <si>
    <t>ر ق و 3381</t>
  </si>
  <si>
    <t>ر ق و3938</t>
  </si>
  <si>
    <t>تويوتا يارس -2024</t>
  </si>
  <si>
    <t>سزوكي دزير -2024</t>
  </si>
  <si>
    <t>ر ق ه 6756</t>
  </si>
  <si>
    <t>تاريخ الإضافة 4-4-2024</t>
  </si>
  <si>
    <t>تاريخ الاضافة 21-4-2024</t>
  </si>
  <si>
    <t>هوينداي I 10 -2024</t>
  </si>
  <si>
    <t>ر ك س 3571</t>
  </si>
  <si>
    <t>تاريخ الإضافة  21-4-2024</t>
  </si>
  <si>
    <t>هوينداى I10-2024</t>
  </si>
  <si>
    <t>ر ك س 3490</t>
  </si>
  <si>
    <t>إضافة 21-4-2024</t>
  </si>
  <si>
    <t>ر ك س 3590</t>
  </si>
  <si>
    <t>هوينداي I10-2024</t>
  </si>
  <si>
    <t>تاريخ الإضافة 21-4-2024</t>
  </si>
  <si>
    <t>ر ك س 3494</t>
  </si>
  <si>
    <t>ر ك س 3497</t>
  </si>
  <si>
    <t>ر ك س 3498</t>
  </si>
  <si>
    <t>رايد حمدان العلوني الجهني</t>
  </si>
  <si>
    <t>ملك عبدالرحمن العوفي</t>
  </si>
  <si>
    <t>ر ك س 3488</t>
  </si>
  <si>
    <t xml:space="preserve"> ر ق  ه 6752</t>
  </si>
  <si>
    <t>يارس - 2024</t>
  </si>
  <si>
    <t>ر ق و 3940</t>
  </si>
  <si>
    <t>اكسنت - 2024</t>
  </si>
  <si>
    <t>ر ق ط 3032</t>
  </si>
  <si>
    <t>ر ق ط 3024</t>
  </si>
  <si>
    <t>بيجاس - 2024</t>
  </si>
  <si>
    <t>ر ع ي 2938</t>
  </si>
  <si>
    <t>تاريخ التالف 2023/1/9 تم وصول المبلغ من شركة التأمين</t>
  </si>
  <si>
    <t>هاني عبدالله محمد عيد الحازمي</t>
  </si>
  <si>
    <t>عبدالمجيد محسن</t>
  </si>
  <si>
    <t xml:space="preserve">تم الرفع وفق سند لأمر </t>
  </si>
  <si>
    <t>ابراهيم محمد عبدالله مقبول</t>
  </si>
  <si>
    <t>موده طاهر محمد صلاح</t>
  </si>
  <si>
    <t>منير طالب علي</t>
  </si>
  <si>
    <t>صالح محمد صالح لولو النخلي</t>
  </si>
  <si>
    <t>منير حسن محمد سعيد الصبحي</t>
  </si>
  <si>
    <t>حسين جمال سعد عبدالسلام</t>
  </si>
  <si>
    <t>احمد عدنان محمد سمان</t>
  </si>
  <si>
    <t>محمد احمد منور عبدالواحد</t>
  </si>
  <si>
    <t>ياسر فيصل عبدالعزيز محلاوي</t>
  </si>
  <si>
    <t>محمد احمد عبدالله المصباحي</t>
  </si>
  <si>
    <t>الفضل محمد محمود سيد ياتي</t>
  </si>
  <si>
    <t>لينا عدنان يوسف ابوسلامه</t>
  </si>
  <si>
    <t>محمد احمد</t>
  </si>
  <si>
    <t>نزار محمود محمد راغب</t>
  </si>
  <si>
    <t>خالد سالم احمد السعدي الزهراني</t>
  </si>
  <si>
    <t xml:space="preserve">تاريخ الإضافة </t>
  </si>
  <si>
    <t>الاجمالى</t>
  </si>
  <si>
    <t>الايراد</t>
  </si>
  <si>
    <t>المصروف</t>
  </si>
  <si>
    <t>الصافى</t>
  </si>
  <si>
    <t>المسحوب</t>
  </si>
  <si>
    <t>المتبقى</t>
  </si>
  <si>
    <t>المسحوبات</t>
  </si>
  <si>
    <t>مريم مسعد الصاعدي</t>
  </si>
  <si>
    <t>ملخص حساب المستثمرين لعام 2024</t>
  </si>
  <si>
    <t>ايراد تشغيل والإصلاحات</t>
  </si>
  <si>
    <t>تعويض شركات التأمين</t>
  </si>
  <si>
    <t>إيرادات مديونيات أعوام سابقة</t>
  </si>
  <si>
    <t xml:space="preserve">صيانة السيارات واصلاحات من حوادث </t>
  </si>
  <si>
    <t>مصروفات حكومية</t>
  </si>
  <si>
    <t>رصيد سنوات سابقة</t>
  </si>
  <si>
    <t>اجمالى الرصيد</t>
  </si>
  <si>
    <t xml:space="preserve">المتابعة مع الشئون القانونية </t>
  </si>
  <si>
    <t xml:space="preserve"> عمولات بنكية على المشتريات   </t>
  </si>
  <si>
    <t>تحويل من ابواديب</t>
  </si>
  <si>
    <t xml:space="preserve"> احمد عبيد الله العوفى</t>
  </si>
  <si>
    <t>أتراج 2022-بيجاس 2023-يارس  2021 -هوينداي I10-2024</t>
  </si>
  <si>
    <t xml:space="preserve">ر ق ط 3045 </t>
  </si>
  <si>
    <t>جديدة</t>
  </si>
  <si>
    <t>الرصيد</t>
  </si>
  <si>
    <t>تقرير المستثمر :   احمد عبيدالله مبارك العوفي ( 31-12-2024 )</t>
  </si>
  <si>
    <t>رصيد سنوات سابقة +فرق مبلغ شراء السيارة 1600 ريال</t>
  </si>
  <si>
    <t>قيمة السيارة</t>
  </si>
  <si>
    <t>قيمة السيارات المضافة</t>
  </si>
  <si>
    <t>المتبقى عليه من ثمن الـ7 سيارات بعد خصم الأرباح</t>
  </si>
  <si>
    <t>اجمالى المستحق لابواديب قبل خصم قيمة السيارات</t>
  </si>
  <si>
    <t>هوينداي كريتا -2024</t>
  </si>
  <si>
    <t>ر ك س 3554</t>
  </si>
  <si>
    <t>المتبقى عليه من قيمة السيارات بعد خصم الأرباح والمبلغ المدفوع من قبله</t>
  </si>
  <si>
    <t>المدفوع من سامي ( حولات بنكية )</t>
  </si>
  <si>
    <t>اجمالى قيمة السيارات حسب عرض السعر المرسل</t>
  </si>
  <si>
    <t>اجمالى المصروف ( استخدام شخصى )</t>
  </si>
  <si>
    <t>مصروفات حكومية (مخالفات )</t>
  </si>
  <si>
    <t>اجمالى المصروفات (استخدام شخصى )</t>
  </si>
  <si>
    <t>تم الاتفاق على السداد على دفعات  من 2-5-2024</t>
  </si>
  <si>
    <t>ر ن ع 5363</t>
  </si>
  <si>
    <t>مقبل ناجي عوض العلوني</t>
  </si>
  <si>
    <t>ماطر ناير راشد العلوني الجهني</t>
  </si>
  <si>
    <t>تقرير المستثمر :  ماطر ناير راشد العلوني الجهني ( 31-12-2024 )</t>
  </si>
  <si>
    <t>المديونية</t>
  </si>
  <si>
    <t>عادل فرحان حسن النمر</t>
  </si>
  <si>
    <t xml:space="preserve">رقم المطالبة </t>
  </si>
  <si>
    <t>تحويلين 50 و75 بتاريخ 9-2-2025</t>
  </si>
  <si>
    <t>تم التحويل بتاريخ 10-2-2025</t>
  </si>
  <si>
    <t xml:space="preserve"> تعويض شركات التأمين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</si>
</sst>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_ ;\-0\ "/>
    <numFmt numFmtId="166" formatCode="#,##0.00_ ;\-#,##0.00\ "/>
    <numFmt numFmtId="167" formatCode="[$-1010000]yyyy/mm/dd;@"/>
  </numFmts>
  <fonts count="24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1"/>
      <name val="Segoe UI Light"/>
      <family val="2"/>
    </font>
    <font>
      <sz val="14"/>
      <color theme="1"/>
      <name val="Segoe UI Light"/>
      <family val="2"/>
    </font>
    <font>
      <b/>
      <sz val="12"/>
      <color theme="1"/>
      <name val="Segoe UI Light"/>
      <family val="2"/>
    </font>
    <font>
      <b/>
      <sz val="11"/>
      <color theme="9" tint="-0.499984740745262"/>
      <name val="Segoe UI Light"/>
      <family val="2"/>
    </font>
    <font>
      <b/>
      <sz val="12"/>
      <color theme="9" tint="-0.499984740745262"/>
      <name val="Segoe UI Light"/>
      <family val="2"/>
    </font>
    <font>
      <b/>
      <sz val="9"/>
      <color theme="1"/>
      <name val="Segoe UI Light"/>
      <family val="2"/>
    </font>
    <font>
      <b/>
      <sz val="11"/>
      <color theme="1"/>
      <name val="Segoe UI Light"/>
      <family val="2"/>
    </font>
    <font>
      <b/>
      <sz val="11"/>
      <color indexed="8"/>
      <name val="Segoe UI Light"/>
      <family val="2"/>
    </font>
    <font>
      <b/>
      <sz val="14"/>
      <color indexed="8"/>
      <name val="Segoe UI Light"/>
      <family val="2"/>
    </font>
    <font>
      <b/>
      <sz val="9"/>
      <color indexed="8"/>
      <name val="Segoe UI Light"/>
      <family val="2"/>
    </font>
    <font>
      <b/>
      <sz val="11.25"/>
      <color indexed="8"/>
      <name val="Segoe UI Light"/>
      <family val="2"/>
    </font>
    <font>
      <b/>
      <sz val="10"/>
      <color theme="1"/>
      <name val="Segoe UI Light"/>
      <family val="2"/>
    </font>
    <font>
      <sz val="12"/>
      <color theme="1"/>
      <name val="Segoe UI Light"/>
      <family val="2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b/>
      <sz val="8"/>
      <color theme="1"/>
      <name val="Segoe UI Light"/>
      <family val="2"/>
    </font>
    <font>
      <b/>
      <sz val="18"/>
      <color theme="1"/>
      <name val="Segoe UI Light"/>
      <family val="2"/>
    </font>
    <font>
      <sz val="12"/>
      <color theme="1"/>
      <name val="Arial"/>
      <family val="2"/>
      <charset val="178"/>
      <scheme val="minor"/>
    </font>
    <font>
      <b/>
      <sz val="10"/>
      <color theme="9" tint="-0.499984740745262"/>
      <name val="Segoe UI Light"/>
      <family val="2"/>
    </font>
    <font>
      <sz val="11"/>
      <color rgb="FFFF0000"/>
      <name val="Arial (النص الأساسي)"/>
      <charset val="178"/>
    </font>
    <font>
      <b/>
      <sz val="11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9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64" fontId="7" fillId="0" borderId="0" xfId="1" applyNumberFormat="1" applyFont="1" applyAlignment="1">
      <alignment horizontal="center"/>
    </xf>
    <xf numFmtId="1" fontId="7" fillId="0" borderId="0" xfId="1" applyNumberFormat="1" applyFont="1" applyAlignment="1">
      <alignment horizontal="center" vertical="center"/>
    </xf>
    <xf numFmtId="0" fontId="8" fillId="0" borderId="0" xfId="0" applyFont="1"/>
    <xf numFmtId="1" fontId="8" fillId="0" borderId="0" xfId="0" applyNumberFormat="1" applyFont="1" applyAlignment="1">
      <alignment horizontal="center" vertical="center"/>
    </xf>
    <xf numFmtId="1" fontId="8" fillId="6" borderId="1" xfId="1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 applyProtection="1">
      <alignment horizontal="center" vertical="center"/>
    </xf>
    <xf numFmtId="1" fontId="9" fillId="3" borderId="1" xfId="1" applyNumberFormat="1" applyFont="1" applyFill="1" applyBorder="1" applyAlignment="1" applyProtection="1">
      <alignment horizontal="center" vertical="center"/>
    </xf>
    <xf numFmtId="1" fontId="9" fillId="4" borderId="1" xfId="1" applyNumberFormat="1" applyFont="1" applyFill="1" applyBorder="1" applyAlignment="1" applyProtection="1">
      <alignment horizontal="center" vertical="center"/>
    </xf>
    <xf numFmtId="164" fontId="8" fillId="0" borderId="6" xfId="1" applyNumberFormat="1" applyFont="1" applyBorder="1" applyAlignment="1">
      <alignment vertical="center"/>
    </xf>
    <xf numFmtId="164" fontId="8" fillId="0" borderId="6" xfId="1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164" fontId="7" fillId="5" borderId="2" xfId="1" applyNumberFormat="1" applyFont="1" applyFill="1" applyBorder="1" applyAlignment="1">
      <alignment horizontal="center" vertical="center" wrapText="1"/>
    </xf>
    <xf numFmtId="1" fontId="7" fillId="5" borderId="2" xfId="1" applyNumberFormat="1" applyFont="1" applyFill="1" applyBorder="1" applyAlignment="1">
      <alignment horizontal="center" vertical="center" wrapText="1"/>
    </xf>
    <xf numFmtId="164" fontId="8" fillId="5" borderId="2" xfId="1" applyNumberFormat="1" applyFont="1" applyFill="1" applyBorder="1" applyAlignment="1">
      <alignment horizontal="center" vertical="center"/>
    </xf>
    <xf numFmtId="1" fontId="8" fillId="5" borderId="2" xfId="1" applyNumberFormat="1" applyFont="1" applyFill="1" applyBorder="1" applyAlignment="1">
      <alignment horizontal="center" vertical="center"/>
    </xf>
    <xf numFmtId="164" fontId="7" fillId="5" borderId="2" xfId="1" applyNumberFormat="1" applyFont="1" applyFill="1" applyBorder="1" applyAlignment="1">
      <alignment horizontal="center" vertical="center"/>
    </xf>
    <xf numFmtId="1" fontId="8" fillId="5" borderId="2" xfId="1" applyNumberFormat="1" applyFont="1" applyFill="1" applyBorder="1" applyAlignment="1">
      <alignment vertical="center"/>
    </xf>
    <xf numFmtId="1" fontId="8" fillId="6" borderId="2" xfId="0" applyNumberFormat="1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vertical="center" wrapText="1"/>
    </xf>
    <xf numFmtId="164" fontId="11" fillId="2" borderId="2" xfId="1" applyNumberFormat="1" applyFont="1" applyFill="1" applyBorder="1" applyAlignment="1">
      <alignment horizontal="center" vertical="center" wrapText="1"/>
    </xf>
    <xf numFmtId="14" fontId="12" fillId="2" borderId="2" xfId="0" applyNumberFormat="1" applyFont="1" applyFill="1" applyBorder="1" applyAlignment="1">
      <alignment horizontal="center" vertical="center"/>
    </xf>
    <xf numFmtId="165" fontId="7" fillId="2" borderId="2" xfId="1" applyNumberFormat="1" applyFont="1" applyFill="1" applyBorder="1" applyAlignment="1">
      <alignment horizontal="center" vertical="center"/>
    </xf>
    <xf numFmtId="14" fontId="12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 wrapText="1"/>
    </xf>
    <xf numFmtId="164" fontId="13" fillId="0" borderId="0" xfId="1" applyNumberFormat="1" applyFont="1" applyAlignment="1">
      <alignment horizontal="center"/>
    </xf>
    <xf numFmtId="1" fontId="13" fillId="0" borderId="0" xfId="1" applyNumberFormat="1" applyFont="1" applyAlignment="1">
      <alignment horizontal="center"/>
    </xf>
    <xf numFmtId="1" fontId="13" fillId="0" borderId="0" xfId="1" applyNumberFormat="1" applyFont="1" applyAlignment="1">
      <alignment horizontal="center" vertical="center"/>
    </xf>
    <xf numFmtId="0" fontId="3" fillId="7" borderId="0" xfId="0" applyFont="1" applyFill="1"/>
    <xf numFmtId="0" fontId="14" fillId="0" borderId="0" xfId="0" applyFont="1"/>
    <xf numFmtId="0" fontId="14" fillId="7" borderId="0" xfId="0" applyFont="1" applyFill="1"/>
    <xf numFmtId="1" fontId="9" fillId="8" borderId="1" xfId="1" applyNumberFormat="1" applyFont="1" applyFill="1" applyBorder="1" applyAlignment="1" applyProtection="1">
      <alignment horizontal="center" vertical="center"/>
    </xf>
    <xf numFmtId="1" fontId="9" fillId="9" borderId="1" xfId="1" applyNumberFormat="1" applyFont="1" applyFill="1" applyBorder="1" applyAlignment="1" applyProtection="1">
      <alignment horizontal="center" vertical="center"/>
    </xf>
    <xf numFmtId="0" fontId="14" fillId="10" borderId="0" xfId="0" applyFont="1" applyFill="1"/>
    <xf numFmtId="0" fontId="3" fillId="10" borderId="0" xfId="0" applyFont="1" applyFill="1"/>
    <xf numFmtId="4" fontId="4" fillId="0" borderId="1" xfId="0" applyNumberFormat="1" applyFont="1" applyBorder="1" applyAlignment="1">
      <alignment horizontal="center" vertical="center"/>
    </xf>
    <xf numFmtId="165" fontId="8" fillId="0" borderId="6" xfId="1" applyNumberFormat="1" applyFont="1" applyBorder="1" applyAlignment="1">
      <alignment vertical="center"/>
    </xf>
    <xf numFmtId="14" fontId="11" fillId="2" borderId="2" xfId="0" applyNumberFormat="1" applyFont="1" applyFill="1" applyBorder="1" applyAlignment="1">
      <alignment horizontal="center" vertical="center" wrapText="1"/>
    </xf>
    <xf numFmtId="0" fontId="16" fillId="0" borderId="1" xfId="3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7" borderId="0" xfId="0" applyFill="1"/>
    <xf numFmtId="14" fontId="8" fillId="6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4" fontId="9" fillId="2" borderId="1" xfId="1" applyNumberFormat="1" applyFont="1" applyFill="1" applyBorder="1" applyAlignment="1" applyProtection="1">
      <alignment horizontal="center" vertical="center"/>
    </xf>
    <xf numFmtId="4" fontId="9" fillId="8" borderId="1" xfId="1" applyNumberFormat="1" applyFont="1" applyFill="1" applyBorder="1" applyAlignment="1" applyProtection="1">
      <alignment horizontal="center" vertical="center"/>
    </xf>
    <xf numFmtId="4" fontId="9" fillId="9" borderId="1" xfId="1" applyNumberFormat="1" applyFont="1" applyFill="1" applyBorder="1" applyAlignment="1" applyProtection="1">
      <alignment horizontal="center" vertical="center"/>
    </xf>
    <xf numFmtId="4" fontId="9" fillId="3" borderId="1" xfId="1" applyNumberFormat="1" applyFont="1" applyFill="1" applyBorder="1" applyAlignment="1" applyProtection="1">
      <alignment horizontal="center" vertical="center"/>
    </xf>
    <xf numFmtId="4" fontId="9" fillId="4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indent="1"/>
    </xf>
    <xf numFmtId="4" fontId="8" fillId="0" borderId="6" xfId="1" applyNumberFormat="1" applyFont="1" applyBorder="1" applyAlignment="1">
      <alignment vertical="center"/>
    </xf>
    <xf numFmtId="4" fontId="8" fillId="0" borderId="6" xfId="1" applyNumberFormat="1" applyFont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" fontId="7" fillId="10" borderId="0" xfId="1" applyNumberFormat="1" applyFont="1" applyFill="1" applyBorder="1" applyAlignment="1">
      <alignment horizontal="center" vertical="center"/>
    </xf>
    <xf numFmtId="1" fontId="8" fillId="10" borderId="0" xfId="1" applyNumberFormat="1" applyFont="1" applyFill="1" applyBorder="1" applyAlignment="1">
      <alignment horizontal="center" vertical="center"/>
    </xf>
    <xf numFmtId="1" fontId="9" fillId="10" borderId="0" xfId="1" applyNumberFormat="1" applyFont="1" applyFill="1" applyBorder="1" applyAlignment="1" applyProtection="1">
      <alignment horizontal="center" vertical="center"/>
    </xf>
    <xf numFmtId="164" fontId="8" fillId="10" borderId="0" xfId="1" applyNumberFormat="1" applyFont="1" applyFill="1" applyBorder="1" applyAlignment="1">
      <alignment vertical="center"/>
    </xf>
    <xf numFmtId="0" fontId="0" fillId="10" borderId="0" xfId="0" applyFill="1"/>
    <xf numFmtId="0" fontId="4" fillId="10" borderId="9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1" fontId="7" fillId="10" borderId="0" xfId="1" applyNumberFormat="1" applyFont="1" applyFill="1" applyAlignment="1">
      <alignment horizontal="center" vertical="center"/>
    </xf>
    <xf numFmtId="4" fontId="9" fillId="10" borderId="3" xfId="1" applyNumberFormat="1" applyFont="1" applyFill="1" applyBorder="1" applyAlignment="1" applyProtection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14" fontId="17" fillId="10" borderId="0" xfId="0" applyNumberFormat="1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4" fontId="0" fillId="0" borderId="0" xfId="0" applyNumberFormat="1"/>
    <xf numFmtId="1" fontId="10" fillId="11" borderId="2" xfId="0" applyNumberFormat="1" applyFont="1" applyFill="1" applyBorder="1" applyAlignment="1">
      <alignment vertical="center" wrapText="1"/>
    </xf>
    <xf numFmtId="1" fontId="9" fillId="11" borderId="2" xfId="1" applyNumberFormat="1" applyFont="1" applyFill="1" applyBorder="1" applyAlignment="1">
      <alignment horizontal="center" vertical="center" wrapText="1"/>
    </xf>
    <xf numFmtId="4" fontId="10" fillId="11" borderId="2" xfId="0" applyNumberFormat="1" applyFont="1" applyFill="1" applyBorder="1" applyAlignment="1">
      <alignment vertical="center" wrapText="1"/>
    </xf>
    <xf numFmtId="164" fontId="8" fillId="11" borderId="6" xfId="1" applyNumberFormat="1" applyFont="1" applyFill="1" applyBorder="1" applyAlignment="1">
      <alignment vertical="center"/>
    </xf>
    <xf numFmtId="166" fontId="8" fillId="11" borderId="6" xfId="1" applyNumberFormat="1" applyFont="1" applyFill="1" applyBorder="1" applyAlignment="1">
      <alignment vertical="center"/>
    </xf>
    <xf numFmtId="1" fontId="7" fillId="11" borderId="2" xfId="1" applyNumberFormat="1" applyFont="1" applyFill="1" applyBorder="1" applyAlignment="1">
      <alignment horizontal="center" vertical="center" wrapText="1"/>
    </xf>
    <xf numFmtId="2" fontId="9" fillId="11" borderId="2" xfId="1" applyNumberFormat="1" applyFont="1" applyFill="1" applyBorder="1" applyAlignment="1">
      <alignment horizontal="center" vertical="center" wrapText="1"/>
    </xf>
    <xf numFmtId="4" fontId="9" fillId="11" borderId="2" xfId="1" applyNumberFormat="1" applyFont="1" applyFill="1" applyBorder="1" applyAlignment="1">
      <alignment horizontal="center" vertical="center" wrapText="1"/>
    </xf>
    <xf numFmtId="3" fontId="9" fillId="11" borderId="2" xfId="1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/>
    </xf>
    <xf numFmtId="4" fontId="7" fillId="5" borderId="2" xfId="1" applyNumberFormat="1" applyFont="1" applyFill="1" applyBorder="1" applyAlignment="1">
      <alignment horizontal="center" vertical="center" wrapText="1"/>
    </xf>
    <xf numFmtId="4" fontId="7" fillId="11" borderId="2" xfId="1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 wrapText="1"/>
    </xf>
    <xf numFmtId="164" fontId="11" fillId="2" borderId="11" xfId="1" applyNumberFormat="1" applyFont="1" applyFill="1" applyBorder="1" applyAlignment="1">
      <alignment horizontal="center" vertical="center" wrapText="1"/>
    </xf>
    <xf numFmtId="164" fontId="11" fillId="2" borderId="12" xfId="1" applyNumberFormat="1" applyFont="1" applyFill="1" applyBorder="1" applyAlignment="1">
      <alignment horizontal="center" vertical="center" wrapText="1"/>
    </xf>
    <xf numFmtId="1" fontId="7" fillId="6" borderId="2" xfId="0" applyNumberFormat="1" applyFont="1" applyFill="1" applyBorder="1" applyAlignment="1">
      <alignment horizontal="center" vertical="center" wrapText="1"/>
    </xf>
    <xf numFmtId="4" fontId="9" fillId="11" borderId="2" xfId="0" applyNumberFormat="1" applyFont="1" applyFill="1" applyBorder="1" applyAlignment="1">
      <alignment horizontal="center" vertical="center" wrapText="1"/>
    </xf>
    <xf numFmtId="3" fontId="9" fillId="11" borderId="2" xfId="0" applyNumberFormat="1" applyFont="1" applyFill="1" applyBorder="1" applyAlignment="1">
      <alignment horizontal="center" vertical="center" wrapText="1"/>
    </xf>
    <xf numFmtId="1" fontId="10" fillId="6" borderId="2" xfId="0" applyNumberFormat="1" applyFont="1" applyFill="1" applyBorder="1" applyAlignment="1">
      <alignment horizontal="center" vertical="center" wrapText="1"/>
    </xf>
    <xf numFmtId="164" fontId="8" fillId="11" borderId="6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20" fillId="11" borderId="2" xfId="0" applyFont="1" applyFill="1" applyBorder="1" applyAlignment="1">
      <alignment horizontal="center" vertical="center"/>
    </xf>
    <xf numFmtId="4" fontId="20" fillId="11" borderId="2" xfId="0" applyNumberFormat="1" applyFont="1" applyFill="1" applyBorder="1" applyAlignment="1">
      <alignment horizontal="center" vertical="center"/>
    </xf>
    <xf numFmtId="0" fontId="0" fillId="11" borderId="0" xfId="0" applyFill="1"/>
    <xf numFmtId="3" fontId="9" fillId="8" borderId="1" xfId="1" applyNumberFormat="1" applyFont="1" applyFill="1" applyBorder="1" applyAlignment="1" applyProtection="1">
      <alignment horizontal="center" vertical="center"/>
    </xf>
    <xf numFmtId="164" fontId="7" fillId="0" borderId="6" xfId="1" applyNumberFormat="1" applyFont="1" applyBorder="1" applyAlignment="1">
      <alignment vertical="center"/>
    </xf>
    <xf numFmtId="164" fontId="8" fillId="12" borderId="4" xfId="1" applyNumberFormat="1" applyFont="1" applyFill="1" applyBorder="1" applyAlignment="1">
      <alignment vertical="center"/>
    </xf>
    <xf numFmtId="3" fontId="9" fillId="2" borderId="1" xfId="1" applyNumberFormat="1" applyFont="1" applyFill="1" applyBorder="1" applyAlignment="1" applyProtection="1">
      <alignment horizontal="center" vertical="center"/>
    </xf>
    <xf numFmtId="3" fontId="9" fillId="12" borderId="1" xfId="1" applyNumberFormat="1" applyFont="1" applyFill="1" applyBorder="1" applyAlignment="1" applyProtection="1">
      <alignment horizontal="center" vertical="center"/>
    </xf>
    <xf numFmtId="4" fontId="9" fillId="12" borderId="1" xfId="1" applyNumberFormat="1" applyFont="1" applyFill="1" applyBorder="1" applyAlignment="1" applyProtection="1">
      <alignment horizontal="center" vertical="center"/>
    </xf>
    <xf numFmtId="3" fontId="9" fillId="9" borderId="1" xfId="1" applyNumberFormat="1" applyFont="1" applyFill="1" applyBorder="1" applyAlignment="1" applyProtection="1">
      <alignment horizontal="center" vertical="center"/>
    </xf>
    <xf numFmtId="3" fontId="9" fillId="3" borderId="1" xfId="1" applyNumberFormat="1" applyFont="1" applyFill="1" applyBorder="1" applyAlignment="1" applyProtection="1">
      <alignment horizontal="center" vertical="center"/>
    </xf>
    <xf numFmtId="3" fontId="9" fillId="4" borderId="1" xfId="1" applyNumberFormat="1" applyFont="1" applyFill="1" applyBorder="1" applyAlignment="1" applyProtection="1">
      <alignment horizontal="center" vertical="center"/>
    </xf>
    <xf numFmtId="3" fontId="9" fillId="11" borderId="2" xfId="1" applyNumberFormat="1" applyFont="1" applyFill="1" applyBorder="1" applyAlignment="1">
      <alignment horizontal="left" vertical="center" wrapText="1" indent="2"/>
    </xf>
    <xf numFmtId="4" fontId="9" fillId="13" borderId="1" xfId="1" applyNumberFormat="1" applyFont="1" applyFill="1" applyBorder="1" applyAlignment="1" applyProtection="1">
      <alignment horizontal="center" vertical="center"/>
    </xf>
    <xf numFmtId="0" fontId="22" fillId="0" borderId="0" xfId="0" applyFont="1"/>
    <xf numFmtId="0" fontId="22" fillId="2" borderId="0" xfId="0" applyFont="1" applyFill="1"/>
    <xf numFmtId="4" fontId="23" fillId="13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4" fontId="9" fillId="8" borderId="0" xfId="1" applyNumberFormat="1" applyFont="1" applyFill="1" applyBorder="1" applyAlignment="1" applyProtection="1">
      <alignment horizontal="center" vertical="center"/>
    </xf>
    <xf numFmtId="0" fontId="0" fillId="13" borderId="0" xfId="0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3" fontId="20" fillId="11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14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64" fontId="8" fillId="6" borderId="3" xfId="1" applyNumberFormat="1" applyFont="1" applyFill="1" applyBorder="1" applyAlignment="1">
      <alignment horizontal="center" vertical="center"/>
    </xf>
    <xf numFmtId="164" fontId="8" fillId="6" borderId="4" xfId="1" applyNumberFormat="1" applyFont="1" applyFill="1" applyBorder="1" applyAlignment="1">
      <alignment horizontal="center" vertical="center"/>
    </xf>
    <xf numFmtId="164" fontId="8" fillId="6" borderId="5" xfId="1" applyNumberFormat="1" applyFont="1" applyFill="1" applyBorder="1" applyAlignment="1">
      <alignment horizontal="center" vertical="center"/>
    </xf>
    <xf numFmtId="164" fontId="8" fillId="2" borderId="3" xfId="1" applyNumberFormat="1" applyFont="1" applyFill="1" applyBorder="1" applyAlignment="1">
      <alignment horizontal="center" vertical="center"/>
    </xf>
    <xf numFmtId="164" fontId="8" fillId="2" borderId="4" xfId="1" applyNumberFormat="1" applyFont="1" applyFill="1" applyBorder="1" applyAlignment="1">
      <alignment horizontal="center" vertical="center"/>
    </xf>
    <xf numFmtId="164" fontId="8" fillId="2" borderId="5" xfId="1" applyNumberFormat="1" applyFont="1" applyFill="1" applyBorder="1" applyAlignment="1">
      <alignment horizontal="center" vertical="center"/>
    </xf>
    <xf numFmtId="164" fontId="8" fillId="8" borderId="3" xfId="1" applyNumberFormat="1" applyFont="1" applyFill="1" applyBorder="1" applyAlignment="1">
      <alignment horizontal="center" vertical="center"/>
    </xf>
    <xf numFmtId="164" fontId="8" fillId="8" borderId="4" xfId="1" applyNumberFormat="1" applyFont="1" applyFill="1" applyBorder="1" applyAlignment="1">
      <alignment horizontal="center" vertical="center"/>
    </xf>
    <xf numFmtId="164" fontId="8" fillId="8" borderId="5" xfId="1" applyNumberFormat="1" applyFont="1" applyFill="1" applyBorder="1" applyAlignment="1">
      <alignment horizontal="center" vertical="center"/>
    </xf>
    <xf numFmtId="164" fontId="8" fillId="9" borderId="3" xfId="1" applyNumberFormat="1" applyFont="1" applyFill="1" applyBorder="1" applyAlignment="1">
      <alignment horizontal="center" vertical="center"/>
    </xf>
    <xf numFmtId="164" fontId="8" fillId="9" borderId="4" xfId="1" applyNumberFormat="1" applyFont="1" applyFill="1" applyBorder="1" applyAlignment="1">
      <alignment horizontal="center" vertical="center"/>
    </xf>
    <xf numFmtId="164" fontId="8" fillId="9" borderId="5" xfId="1" applyNumberFormat="1" applyFont="1" applyFill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164" fontId="8" fillId="3" borderId="4" xfId="1" applyNumberFormat="1" applyFont="1" applyFill="1" applyBorder="1" applyAlignment="1">
      <alignment horizontal="center" vertical="center"/>
    </xf>
    <xf numFmtId="164" fontId="8" fillId="3" borderId="5" xfId="1" applyNumberFormat="1" applyFont="1" applyFill="1" applyBorder="1" applyAlignment="1">
      <alignment horizontal="center" vertical="center"/>
    </xf>
    <xf numFmtId="164" fontId="8" fillId="4" borderId="3" xfId="1" applyNumberFormat="1" applyFont="1" applyFill="1" applyBorder="1" applyAlignment="1">
      <alignment horizontal="center" vertical="center"/>
    </xf>
    <xf numFmtId="164" fontId="8" fillId="4" borderId="4" xfId="1" applyNumberFormat="1" applyFont="1" applyFill="1" applyBorder="1" applyAlignment="1">
      <alignment horizontal="center" vertical="center"/>
    </xf>
    <xf numFmtId="164" fontId="8" fillId="4" borderId="5" xfId="1" applyNumberFormat="1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4" fontId="8" fillId="12" borderId="4" xfId="1" applyNumberFormat="1" applyFont="1" applyFill="1" applyBorder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 wrapText="1"/>
    </xf>
    <xf numFmtId="164" fontId="11" fillId="2" borderId="11" xfId="1" applyNumberFormat="1" applyFont="1" applyFill="1" applyBorder="1" applyAlignment="1">
      <alignment horizontal="center" vertical="center" wrapText="1"/>
    </xf>
    <xf numFmtId="164" fontId="11" fillId="2" borderId="12" xfId="1" applyNumberFormat="1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4" fontId="12" fillId="2" borderId="10" xfId="0" applyNumberFormat="1" applyFont="1" applyFill="1" applyBorder="1" applyAlignment="1">
      <alignment horizontal="center" vertical="center"/>
    </xf>
    <xf numFmtId="14" fontId="12" fillId="2" borderId="11" xfId="0" applyNumberFormat="1" applyFont="1" applyFill="1" applyBorder="1" applyAlignment="1">
      <alignment horizontal="center" vertical="center"/>
    </xf>
    <xf numFmtId="14" fontId="12" fillId="2" borderId="12" xfId="0" applyNumberFormat="1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165" fontId="7" fillId="6" borderId="10" xfId="1" applyNumberFormat="1" applyFont="1" applyFill="1" applyBorder="1" applyAlignment="1">
      <alignment horizontal="center" vertical="center"/>
    </xf>
    <xf numFmtId="165" fontId="7" fillId="6" borderId="12" xfId="1" applyNumberFormat="1" applyFont="1" applyFill="1" applyBorder="1" applyAlignment="1">
      <alignment horizontal="center" vertical="center"/>
    </xf>
    <xf numFmtId="164" fontId="7" fillId="5" borderId="10" xfId="1" applyNumberFormat="1" applyFont="1" applyFill="1" applyBorder="1" applyAlignment="1">
      <alignment horizontal="center" vertical="center" wrapText="1"/>
    </xf>
    <xf numFmtId="164" fontId="7" fillId="5" borderId="11" xfId="1" applyNumberFormat="1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Comma 2" xfId="2" xr:uid="{E4C2EF62-9CBE-4DE7-857D-5869E14B827E}"/>
    <cellStyle name="ارتباط تشعبي" xfId="3" builtinId="8"/>
    <cellStyle name="عادي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94FF-A7F4-47AF-8149-F5F5E5C96937}">
  <sheetPr>
    <pageSetUpPr fitToPage="1"/>
  </sheetPr>
  <dimension ref="A1:M553"/>
  <sheetViews>
    <sheetView rightToLeft="1" tabSelected="1" topLeftCell="A34" workbookViewId="0">
      <selection activeCell="I59" sqref="I59"/>
    </sheetView>
  </sheetViews>
  <sheetFormatPr defaultColWidth="9" defaultRowHeight="14.25"/>
  <cols>
    <col min="1" max="1" width="9" style="1"/>
    <col min="2" max="2" width="28.625" style="1" bestFit="1" customWidth="1"/>
    <col min="3" max="8" width="14" style="1" customWidth="1"/>
    <col min="9" max="10" width="13.125" style="1" customWidth="1"/>
    <col min="11" max="16384" width="9" style="43"/>
  </cols>
  <sheetData>
    <row r="1" spans="1:13" ht="14.25" customHeight="1">
      <c r="A1" s="131" t="s">
        <v>293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3" ht="15" customHeight="1" thickBot="1">
      <c r="A2" s="133"/>
      <c r="B2" s="134"/>
      <c r="C2" s="134"/>
      <c r="D2" s="134"/>
      <c r="E2" s="134"/>
      <c r="F2" s="134"/>
      <c r="G2" s="134"/>
      <c r="H2" s="134"/>
      <c r="I2" s="134"/>
      <c r="J2" s="134"/>
    </row>
    <row r="3" spans="1:13" s="44" customFormat="1" ht="47.25" customHeight="1" thickBot="1">
      <c r="A3" s="89" t="s">
        <v>3</v>
      </c>
      <c r="B3" s="89" t="s">
        <v>0</v>
      </c>
      <c r="C3" s="89" t="s">
        <v>47</v>
      </c>
      <c r="D3" s="89" t="s">
        <v>286</v>
      </c>
      <c r="E3" s="89" t="s">
        <v>287</v>
      </c>
      <c r="F3" s="89" t="s">
        <v>288</v>
      </c>
      <c r="G3" s="89" t="s">
        <v>289</v>
      </c>
      <c r="H3" s="89" t="s">
        <v>290</v>
      </c>
      <c r="I3" s="89" t="s">
        <v>299</v>
      </c>
      <c r="J3" s="89" t="s">
        <v>308</v>
      </c>
    </row>
    <row r="4" spans="1:13" ht="24.75" customHeight="1" thickBot="1">
      <c r="A4" s="42">
        <v>1</v>
      </c>
      <c r="B4" s="3" t="s">
        <v>325</v>
      </c>
      <c r="C4" s="3">
        <v>6</v>
      </c>
      <c r="D4" s="39">
        <f>'مقبل ناجي عوض العلوني'!$AH$9</f>
        <v>135998.84347826082</v>
      </c>
      <c r="E4" s="39">
        <f>'مقبل ناجي عوض العلوني'!$AH$17</f>
        <v>28723.259117629997</v>
      </c>
      <c r="F4" s="39">
        <f>'مقبل ناجي عوض العلوني'!$AH$20</f>
        <v>75092.909052441595</v>
      </c>
      <c r="G4" s="39">
        <f>'مقبل ناجي عوض العلوني'!$AH$21</f>
        <v>0</v>
      </c>
      <c r="H4" s="39">
        <f>'مقبل ناجي عوض العلوني'!$AH$22</f>
        <v>75092.909052441595</v>
      </c>
      <c r="I4" s="39">
        <f>'مقبل ناجي عوض العلوني'!$AH$23</f>
        <v>12791</v>
      </c>
      <c r="J4" s="39">
        <f>H4+I4</f>
        <v>87883.909052441595</v>
      </c>
    </row>
    <row r="5" spans="1:13" ht="24.75" customHeight="1" thickBot="1">
      <c r="A5" s="42">
        <v>2</v>
      </c>
      <c r="B5" s="3" t="s">
        <v>192</v>
      </c>
      <c r="C5" s="3">
        <v>1</v>
      </c>
      <c r="D5" s="39">
        <f>'رائد الحسيني'!$D$9</f>
        <v>35343</v>
      </c>
      <c r="E5" s="39">
        <f>'رائد الحسيني'!$D$17</f>
        <v>0</v>
      </c>
      <c r="F5" s="39">
        <f>'رائد الحسيني'!$D$20</f>
        <v>35343</v>
      </c>
      <c r="G5" s="39">
        <f>'رائد الحسيني'!$D$21</f>
        <v>35343</v>
      </c>
      <c r="H5" s="39">
        <f>'رائد الحسيني'!$D$22</f>
        <v>0</v>
      </c>
      <c r="I5" s="39">
        <f>'رائد الحسيني'!$D$23</f>
        <v>0</v>
      </c>
      <c r="J5" s="39">
        <f t="shared" ref="J5:J58" si="0">H5+I5</f>
        <v>0</v>
      </c>
    </row>
    <row r="6" spans="1:13" ht="24.75" customHeight="1" thickBot="1">
      <c r="A6" s="42">
        <v>3</v>
      </c>
      <c r="B6" s="3" t="s">
        <v>193</v>
      </c>
      <c r="C6" s="3">
        <v>4</v>
      </c>
      <c r="D6" s="39">
        <f>'فايز رابح الشاماني'!$X$9</f>
        <v>70381.130434782608</v>
      </c>
      <c r="E6" s="39">
        <f>'فايز رابح الشاماني'!$X$17</f>
        <v>12005.222001824999</v>
      </c>
      <c r="F6" s="39">
        <f>'فايز رابح الشاماني'!$X$20</f>
        <v>40863.135903070332</v>
      </c>
      <c r="G6" s="39">
        <f>'فايز رابح الشاماني'!$X$21</f>
        <v>0</v>
      </c>
      <c r="H6" s="39">
        <f>'فايز رابح الشاماني'!$X$22</f>
        <v>40863.135903070332</v>
      </c>
      <c r="I6" s="39">
        <f>'فايز رابح الشاماني'!$X$23</f>
        <v>0</v>
      </c>
      <c r="J6" s="39">
        <f t="shared" si="0"/>
        <v>40863.135903070332</v>
      </c>
    </row>
    <row r="7" spans="1:13" ht="24.75" customHeight="1" thickBot="1">
      <c r="A7" s="42">
        <v>4</v>
      </c>
      <c r="B7" s="3" t="s">
        <v>194</v>
      </c>
      <c r="C7" s="3">
        <v>1</v>
      </c>
      <c r="D7" s="39">
        <f>'مرام الصاعدي'!$D$9</f>
        <v>19305.756521739131</v>
      </c>
      <c r="E7" s="39">
        <f>'مرام الصاعدي'!$D$17</f>
        <v>2434.0801513699998</v>
      </c>
      <c r="F7" s="39">
        <f>'مرام الصاعدي'!$D$20</f>
        <v>11810.173459258393</v>
      </c>
      <c r="G7" s="39">
        <f>'مرام الصاعدي'!$D$21</f>
        <v>0</v>
      </c>
      <c r="H7" s="39">
        <f>'مرام الصاعدي'!$D$22</f>
        <v>11810.173459258393</v>
      </c>
      <c r="I7" s="39">
        <f>'مرام الصاعدي'!$D$23</f>
        <v>10590</v>
      </c>
      <c r="J7" s="39">
        <f t="shared" si="0"/>
        <v>22400.173459258393</v>
      </c>
    </row>
    <row r="8" spans="1:13" ht="24.75" customHeight="1" thickBot="1">
      <c r="A8" s="42">
        <v>5</v>
      </c>
      <c r="B8" s="3" t="s">
        <v>195</v>
      </c>
      <c r="C8" s="3">
        <v>1</v>
      </c>
      <c r="D8" s="39">
        <f>'بدرية الصاعدي'!$D$9</f>
        <v>25326.521739130436</v>
      </c>
      <c r="E8" s="39">
        <f>'بدرية الصاعدي'!$D$17</f>
        <v>3570.19000069</v>
      </c>
      <c r="F8" s="39">
        <f>'بدرية الصاعدي'!$D$20</f>
        <v>15229.432216908306</v>
      </c>
      <c r="G8" s="39">
        <f>'بدرية الصاعدي'!$D$21</f>
        <v>0</v>
      </c>
      <c r="H8" s="39">
        <f>'بدرية الصاعدي'!$D$22</f>
        <v>15229.432216908306</v>
      </c>
      <c r="I8" s="39">
        <f>'بدرية الصاعدي'!$D$23</f>
        <v>30811</v>
      </c>
      <c r="J8" s="39">
        <f t="shared" si="0"/>
        <v>46040.432216908303</v>
      </c>
    </row>
    <row r="9" spans="1:13" ht="24.75" customHeight="1" thickBot="1">
      <c r="A9" s="42">
        <v>6</v>
      </c>
      <c r="B9" s="3" t="s">
        <v>196</v>
      </c>
      <c r="C9" s="3">
        <v>1</v>
      </c>
      <c r="D9" s="39">
        <f>'روان مسعد'!$D$9</f>
        <v>16670.234782608695</v>
      </c>
      <c r="E9" s="39">
        <f>'روان مسعد'!$D$17</f>
        <v>2209.6499840289998</v>
      </c>
      <c r="F9" s="39">
        <f>'روان مسعد'!$D$20</f>
        <v>10122.409359005787</v>
      </c>
      <c r="G9" s="39">
        <f>'روان مسعد'!$D$21</f>
        <v>0</v>
      </c>
      <c r="H9" s="39">
        <f>'روان مسعد'!$D$22</f>
        <v>10122.409359005787</v>
      </c>
      <c r="I9" s="39">
        <f>'روان مسعد'!$D$23</f>
        <v>24302.125</v>
      </c>
      <c r="J9" s="39">
        <f t="shared" si="0"/>
        <v>34424.534359005789</v>
      </c>
    </row>
    <row r="10" spans="1:13" ht="24.75" customHeight="1" thickBot="1">
      <c r="A10" s="42">
        <v>7</v>
      </c>
      <c r="B10" s="3" t="s">
        <v>197</v>
      </c>
      <c r="C10" s="3">
        <v>1</v>
      </c>
      <c r="D10" s="39">
        <f>'اميره +نسرين الصاعدي'!$D$9</f>
        <v>28898.069565217393</v>
      </c>
      <c r="E10" s="39">
        <f>'اميره +نسرين الصاعدي'!$D$17</f>
        <v>3232.3220294989997</v>
      </c>
      <c r="F10" s="39">
        <f>'اميره +نسرين الصاعدي'!$D$20</f>
        <v>17966.023275002877</v>
      </c>
      <c r="G10" s="39">
        <f>'اميره +نسرين الصاعدي'!$D$21</f>
        <v>0</v>
      </c>
      <c r="H10" s="39">
        <f>'اميره +نسرين الصاعدي'!$D$22</f>
        <v>17966.023275002877</v>
      </c>
      <c r="I10" s="39">
        <f>'اميره +نسرين الصاعدي'!$D$23</f>
        <v>27322.382000000001</v>
      </c>
      <c r="J10" s="39">
        <f t="shared" si="0"/>
        <v>45288.405275002879</v>
      </c>
    </row>
    <row r="11" spans="1:13" ht="24.75" customHeight="1" thickBot="1">
      <c r="A11" s="42">
        <v>8</v>
      </c>
      <c r="B11" s="3" t="s">
        <v>198</v>
      </c>
      <c r="C11" s="3">
        <v>2</v>
      </c>
      <c r="D11" s="39">
        <f>'نوال حمدان'!$N$9</f>
        <v>38984.060869565219</v>
      </c>
      <c r="E11" s="39">
        <f>'نوال حمدان'!$N$17</f>
        <v>7454.9094515850002</v>
      </c>
      <c r="F11" s="39">
        <f>'نوال حمدان'!$N$20</f>
        <v>22070.405992586151</v>
      </c>
      <c r="G11" s="39">
        <f>'نوال حمدان'!$N$21</f>
        <v>0</v>
      </c>
      <c r="H11" s="39">
        <f>'نوال حمدان'!$N$22</f>
        <v>22070.405992586151</v>
      </c>
      <c r="I11" s="39">
        <f>'نوال حمدان'!$N$23</f>
        <v>39567</v>
      </c>
      <c r="J11" s="39">
        <f t="shared" si="0"/>
        <v>61637.405992586151</v>
      </c>
    </row>
    <row r="12" spans="1:13" ht="24.75" customHeight="1" thickBot="1">
      <c r="A12" s="42">
        <v>9</v>
      </c>
      <c r="B12" s="3" t="s">
        <v>199</v>
      </c>
      <c r="C12" s="3">
        <v>12</v>
      </c>
      <c r="D12" s="39">
        <f>' وليد نافع العوفي'!$BL$9</f>
        <v>230308.11217391302</v>
      </c>
      <c r="E12" s="39">
        <f>' وليد نافع العوفي'!$BL$17</f>
        <v>30895.219553223993</v>
      </c>
      <c r="F12" s="39">
        <f>' وليد نافع العوفي'!$BL$20</f>
        <v>138855.83983448232</v>
      </c>
      <c r="G12" s="39">
        <f>' وليد نافع العوفي'!$BL$21</f>
        <v>0</v>
      </c>
      <c r="H12" s="39">
        <f>' وليد نافع العوفي'!$BL$22</f>
        <v>138855.83983448232</v>
      </c>
      <c r="I12" s="39">
        <f>' وليد نافع العوفي'!$BL$23</f>
        <v>40707</v>
      </c>
      <c r="J12" s="39">
        <f t="shared" si="0"/>
        <v>179562.83983448232</v>
      </c>
    </row>
    <row r="13" spans="1:13" ht="24.75" customHeight="1" thickBot="1">
      <c r="A13" s="42">
        <v>10</v>
      </c>
      <c r="B13" s="3" t="s">
        <v>200</v>
      </c>
      <c r="C13" s="3">
        <v>1</v>
      </c>
      <c r="D13" s="39">
        <f>'فهد الاحمدي'!$D$9</f>
        <v>20284.34782608696</v>
      </c>
      <c r="E13" s="39">
        <f>'فهد الاحمدي'!$D$17</f>
        <v>1711.0645880019999</v>
      </c>
      <c r="F13" s="39">
        <f>'فهد الاحمدي'!$D$20</f>
        <v>13001.298266659473</v>
      </c>
      <c r="G13" s="39">
        <f>'فهد الاحمدي'!$D$21</f>
        <v>0</v>
      </c>
      <c r="H13" s="39">
        <f>'فهد الاحمدي'!$D$22</f>
        <v>13001.298266659473</v>
      </c>
      <c r="I13" s="39">
        <f>'فهد الاحمدي'!$D$23</f>
        <v>31431</v>
      </c>
      <c r="J13" s="39">
        <f t="shared" si="0"/>
        <v>44432.298266659476</v>
      </c>
    </row>
    <row r="14" spans="1:13" ht="24.75" customHeight="1" thickBot="1">
      <c r="A14" s="42">
        <v>11</v>
      </c>
      <c r="B14" s="3" t="s">
        <v>201</v>
      </c>
      <c r="C14" s="3">
        <v>7</v>
      </c>
      <c r="D14" s="39">
        <f>'نوف عبيدالله مبارك العوفي '!$AM$9</f>
        <v>149006.72608695654</v>
      </c>
      <c r="E14" s="39">
        <f>'نوف عبيدالله مبارك العوفي '!$AM$17</f>
        <v>13547.041187899</v>
      </c>
      <c r="F14" s="39">
        <f>'نوف عبيدالله مبارك العوفي '!$AM$20</f>
        <v>94179.659429340274</v>
      </c>
      <c r="G14" s="39">
        <f>'نوف عبيدالله مبارك العوفي '!$AM$21</f>
        <v>0</v>
      </c>
      <c r="H14" s="39">
        <f>'نوف عبيدالله مبارك العوفي '!$AM$22</f>
        <v>94179.659429340274</v>
      </c>
      <c r="I14" s="39">
        <f>'نوف عبيدالله مبارك العوفي '!$AM$23</f>
        <v>67209</v>
      </c>
      <c r="J14" s="39">
        <f t="shared" si="0"/>
        <v>161388.65942934027</v>
      </c>
    </row>
    <row r="15" spans="1:13" ht="24.75" customHeight="1" thickBot="1">
      <c r="A15" s="42">
        <v>12</v>
      </c>
      <c r="B15" s="3" t="s">
        <v>202</v>
      </c>
      <c r="C15" s="3">
        <v>1</v>
      </c>
      <c r="D15" s="39">
        <f>'ايلان العوفي '!$D$9</f>
        <v>27776.095652173914</v>
      </c>
      <c r="E15" s="39">
        <f>'ايلان العوفي '!$D$17</f>
        <v>2491.2654943460002</v>
      </c>
      <c r="F15" s="39">
        <f>'ايلان العوفي '!$D$20</f>
        <v>17699.381110479539</v>
      </c>
      <c r="G15" s="39">
        <f>'ايلان العوفي '!$D$21</f>
        <v>0</v>
      </c>
      <c r="H15" s="39">
        <f>'ايلان العوفي '!$D$22</f>
        <v>17699.381110479539</v>
      </c>
      <c r="I15" s="39">
        <f>'ايلان العوفي '!$D$23</f>
        <v>11231</v>
      </c>
      <c r="J15" s="39">
        <f t="shared" si="0"/>
        <v>28930.381110479539</v>
      </c>
      <c r="M15" s="117"/>
    </row>
    <row r="16" spans="1:13" ht="24.75" customHeight="1" thickBot="1">
      <c r="A16" s="42">
        <v>13</v>
      </c>
      <c r="B16" s="3" t="s">
        <v>203</v>
      </c>
      <c r="C16" s="3">
        <v>1</v>
      </c>
      <c r="D16" s="39">
        <f>'عبدالوهاب سليم'!$D$9</f>
        <v>27838.695652173919</v>
      </c>
      <c r="E16" s="39">
        <f>'عبدالوهاب سليم'!$D$17</f>
        <v>2437.2216185440002</v>
      </c>
      <c r="F16" s="39">
        <f>'عبدالوهاب سليم'!$D$20</f>
        <v>17781.031823540943</v>
      </c>
      <c r="G16" s="39">
        <f>'عبدالوهاب سليم'!$D$21</f>
        <v>0</v>
      </c>
      <c r="H16" s="39">
        <f>'عبدالوهاب سليم'!$D$22</f>
        <v>17781.031823540943</v>
      </c>
      <c r="I16" s="39">
        <f>'عبدالوهاب سليم'!$D$23</f>
        <v>0</v>
      </c>
      <c r="J16" s="39">
        <f t="shared" si="0"/>
        <v>17781.031823540943</v>
      </c>
    </row>
    <row r="17" spans="1:10" ht="24.75" customHeight="1" thickBot="1">
      <c r="A17" s="42">
        <v>14</v>
      </c>
      <c r="B17" s="3" t="s">
        <v>204</v>
      </c>
      <c r="C17" s="3">
        <v>1</v>
      </c>
      <c r="D17" s="39">
        <f>'سلطان عواد الدبيسي'!$D$9</f>
        <v>21490.000000000004</v>
      </c>
      <c r="E17" s="39">
        <f>'سلطان عواد الدبيسي'!$D$17</f>
        <v>1604.8999989899999</v>
      </c>
      <c r="F17" s="39">
        <f>'سلطان عواد الدبيسي'!$D$20</f>
        <v>13919.570000707003</v>
      </c>
      <c r="G17" s="39">
        <f>'سلطان عواد الدبيسي'!$D$21</f>
        <v>0</v>
      </c>
      <c r="H17" s="39">
        <f>'سلطان عواد الدبيسي'!$D$22</f>
        <v>13919.570000707003</v>
      </c>
      <c r="I17" s="39">
        <f>'سلطان عواد الدبيسي'!$D$23</f>
        <v>0</v>
      </c>
      <c r="J17" s="39">
        <f t="shared" si="0"/>
        <v>13919.570000707003</v>
      </c>
    </row>
    <row r="18" spans="1:10" ht="24.75" customHeight="1" thickBot="1">
      <c r="A18" s="42">
        <v>15</v>
      </c>
      <c r="B18" s="3" t="s">
        <v>205</v>
      </c>
      <c r="C18" s="3">
        <v>1</v>
      </c>
      <c r="D18" s="39">
        <f>'لانا العوفي'!$D$9</f>
        <v>11030.921739130437</v>
      </c>
      <c r="E18" s="39">
        <f>'لانا العوفي'!$D$17</f>
        <v>5541.5059803800004</v>
      </c>
      <c r="F18" s="39">
        <f>'لانا العوفي'!$D$20</f>
        <v>3842.5910311253056</v>
      </c>
      <c r="G18" s="39">
        <f>'لانا العوفي'!$D$21</f>
        <v>0</v>
      </c>
      <c r="H18" s="39">
        <f>'لانا العوفي'!$D$22</f>
        <v>3842.5910311253056</v>
      </c>
      <c r="I18" s="39">
        <f>'لانا العوفي'!$D$23</f>
        <v>5160</v>
      </c>
      <c r="J18" s="39">
        <f t="shared" si="0"/>
        <v>9002.5910311253065</v>
      </c>
    </row>
    <row r="19" spans="1:10" ht="24.75" customHeight="1" thickBot="1">
      <c r="A19" s="42">
        <v>16</v>
      </c>
      <c r="B19" s="3" t="s">
        <v>292</v>
      </c>
      <c r="C19" s="3">
        <v>4</v>
      </c>
      <c r="D19" s="39">
        <f>' مريم مسعد الصاعدي'!$X$9</f>
        <v>31029.565217391308</v>
      </c>
      <c r="E19" s="39">
        <f>' مريم مسعد الصاعدي'!$X$17</f>
        <v>2547.975606256</v>
      </c>
      <c r="F19" s="39">
        <f>' مريم مسعد الصاعدي'!$X$20</f>
        <v>19937.112727794716</v>
      </c>
      <c r="G19" s="39">
        <f>' مريم مسعد الصاعدي'!$X$21</f>
        <v>0</v>
      </c>
      <c r="H19" s="39">
        <f>' مريم مسعد الصاعدي'!$X$22</f>
        <v>19937.112727794716</v>
      </c>
      <c r="I19" s="39">
        <f>' مريم مسعد الصاعدي'!$X$23</f>
        <v>0</v>
      </c>
      <c r="J19" s="39">
        <f t="shared" si="0"/>
        <v>19937.112727794716</v>
      </c>
    </row>
    <row r="20" spans="1:10" ht="24.75" customHeight="1" thickBot="1">
      <c r="A20" s="42">
        <v>17</v>
      </c>
      <c r="B20" s="3" t="s">
        <v>206</v>
      </c>
      <c r="C20" s="3">
        <v>2</v>
      </c>
      <c r="D20" s="39">
        <f>'فهد الغامدي'!$N$9</f>
        <v>40786.226086956522</v>
      </c>
      <c r="E20" s="39">
        <f>'فهد الغامدي'!$N$17</f>
        <v>4390.5459890250004</v>
      </c>
      <c r="F20" s="39">
        <f>'فهد الغامدي'!$N$20</f>
        <v>25476.976068552067</v>
      </c>
      <c r="G20" s="39">
        <f>'فهد الغامدي'!$N$21</f>
        <v>0</v>
      </c>
      <c r="H20" s="39">
        <f>'فهد الغامدي'!$N$22</f>
        <v>25476.976068552067</v>
      </c>
      <c r="I20" s="39">
        <f>'فهد الغامدي'!$N$23</f>
        <v>0</v>
      </c>
      <c r="J20" s="39">
        <f t="shared" si="0"/>
        <v>25476.976068552067</v>
      </c>
    </row>
    <row r="21" spans="1:10" ht="24.75" customHeight="1" thickBot="1">
      <c r="A21" s="42">
        <v>18</v>
      </c>
      <c r="B21" s="3" t="s">
        <v>207</v>
      </c>
      <c r="C21" s="3">
        <v>6</v>
      </c>
      <c r="D21" s="39">
        <f>'عبيدالله العوفى'!$AG$9</f>
        <v>133719.46173913049</v>
      </c>
      <c r="E21" s="39">
        <f>'عبيدالله العوفى'!$AG$17</f>
        <v>16512.455569620997</v>
      </c>
      <c r="F21" s="39">
        <f>'عبيدالله العوفى'!$AG$20</f>
        <v>82044.904318656656</v>
      </c>
      <c r="G21" s="39">
        <f>'عبيدالله العوفى'!$AG$21</f>
        <v>25000</v>
      </c>
      <c r="H21" s="39">
        <f>'عبيدالله العوفى'!$AG$22</f>
        <v>57044.904318656641</v>
      </c>
      <c r="I21" s="39">
        <f>'عبيدالله العوفى'!$AG$23</f>
        <v>0</v>
      </c>
      <c r="J21" s="39">
        <f t="shared" si="0"/>
        <v>57044.904318656641</v>
      </c>
    </row>
    <row r="22" spans="1:10" ht="24.75" customHeight="1" thickBot="1">
      <c r="A22" s="42">
        <v>19</v>
      </c>
      <c r="B22" s="3" t="s">
        <v>208</v>
      </c>
      <c r="C22" s="3">
        <v>1</v>
      </c>
      <c r="D22" s="39">
        <f>'ام عبدالرحمن'!$D$9</f>
        <v>16559.973913043479</v>
      </c>
      <c r="E22" s="39">
        <f>'ام عبدالرحمن'!$D$17</f>
        <v>1641.6520579329999</v>
      </c>
      <c r="F22" s="39">
        <f>'ام عبدالرحمن'!$D$20</f>
        <v>10442.825298577336</v>
      </c>
      <c r="G22" s="39">
        <f>'ام عبدالرحمن'!$D$21</f>
        <v>0</v>
      </c>
      <c r="H22" s="39">
        <f>'ام عبدالرحمن'!$D$22</f>
        <v>10442.825298577336</v>
      </c>
      <c r="I22" s="39">
        <f>'ام عبدالرحمن'!$D$23</f>
        <v>32480.545999999998</v>
      </c>
      <c r="J22" s="39">
        <f t="shared" si="0"/>
        <v>42923.371298577331</v>
      </c>
    </row>
    <row r="23" spans="1:10" ht="24.75" customHeight="1" thickBot="1">
      <c r="A23" s="42">
        <v>20</v>
      </c>
      <c r="B23" s="3" t="s">
        <v>209</v>
      </c>
      <c r="C23" s="3">
        <v>6</v>
      </c>
      <c r="D23" s="39">
        <f>'سامي عبيد الله العوفي'!$AG$9</f>
        <v>98568.530434782617</v>
      </c>
      <c r="E23" s="39">
        <f>'سامي عبيد الله العوفي'!$AG$17</f>
        <v>12801.979066151</v>
      </c>
      <c r="F23" s="39">
        <f>'سامي عبيد الله العوفي'!$AG$20</f>
        <v>59497.212958042132</v>
      </c>
      <c r="G23" s="39">
        <f>'سامي عبيد الله العوفي'!$AG$21</f>
        <v>0</v>
      </c>
      <c r="H23" s="39">
        <f>'سامي عبيد الله العوفي'!$AG$22</f>
        <v>59497.212958042132</v>
      </c>
      <c r="I23" s="39">
        <f>'سامي عبيد الله العوفي'!$AG$23</f>
        <v>0</v>
      </c>
      <c r="J23" s="39">
        <f t="shared" si="0"/>
        <v>59497.212958042132</v>
      </c>
    </row>
    <row r="24" spans="1:10" ht="24.75" customHeight="1" thickBot="1">
      <c r="A24" s="42">
        <v>21</v>
      </c>
      <c r="B24" s="3" t="s">
        <v>210</v>
      </c>
      <c r="C24" s="3">
        <v>4</v>
      </c>
      <c r="D24" s="39">
        <f>'نادر سليم الرشيدي '!$X$9</f>
        <v>84998.121739130453</v>
      </c>
      <c r="E24" s="39">
        <f>'نادر سليم الرشيدي '!$X$17</f>
        <v>17258.574598195999</v>
      </c>
      <c r="F24" s="39">
        <f>'نادر سليم الرشيدي '!$X$20</f>
        <v>47417.682998654127</v>
      </c>
      <c r="G24" s="39">
        <f>'نادر سليم الرشيدي '!$X$21</f>
        <v>0</v>
      </c>
      <c r="H24" s="39">
        <f>'نادر سليم الرشيدي '!$X$22</f>
        <v>47417.682998654127</v>
      </c>
      <c r="I24" s="39">
        <f>'نادر سليم الرشيدي '!$X$23</f>
        <v>55148</v>
      </c>
      <c r="J24" s="39">
        <f t="shared" si="0"/>
        <v>102565.68299865413</v>
      </c>
    </row>
    <row r="25" spans="1:10" ht="24.75" customHeight="1" thickBot="1">
      <c r="A25" s="42">
        <v>22</v>
      </c>
      <c r="B25" s="3" t="s">
        <v>211</v>
      </c>
      <c r="C25" s="3">
        <v>3</v>
      </c>
      <c r="D25" s="39">
        <f>' فهد منيف الحربي'!$S$9</f>
        <v>78080.773913043435</v>
      </c>
      <c r="E25" s="39">
        <f>' فهد منيف الحربي'!$S$17</f>
        <v>10719.968453895999</v>
      </c>
      <c r="F25" s="39">
        <f>' فهد منيف الحربي'!$S$20</f>
        <v>47152.563821403208</v>
      </c>
      <c r="G25" s="39">
        <f>' فهد منيف الحربي'!$S$21</f>
        <v>0</v>
      </c>
      <c r="H25" s="39">
        <f>' فهد منيف الحربي'!$S$22</f>
        <v>47152.563821403208</v>
      </c>
      <c r="I25" s="39">
        <f>' فهد منيف الحربي'!$S$23</f>
        <v>46034</v>
      </c>
      <c r="J25" s="39">
        <f t="shared" si="0"/>
        <v>93186.563821403208</v>
      </c>
    </row>
    <row r="26" spans="1:10" ht="24.75" customHeight="1" thickBot="1">
      <c r="A26" s="42">
        <v>23</v>
      </c>
      <c r="B26" s="3" t="s">
        <v>212</v>
      </c>
      <c r="C26" s="3">
        <v>1</v>
      </c>
      <c r="D26" s="39">
        <f>' بدور عبيد الله العوفي '!$D$9</f>
        <v>17975.652173913044</v>
      </c>
      <c r="E26" s="39">
        <f>' بدور عبيد الله العوفي '!$D$17</f>
        <v>3530.1684399340002</v>
      </c>
      <c r="F26" s="39">
        <f>' بدور عبيد الله العوفي '!$D$20</f>
        <v>10111.83861378533</v>
      </c>
      <c r="G26" s="39">
        <f>' بدور عبيد الله العوفي '!$D$21</f>
        <v>0</v>
      </c>
      <c r="H26" s="39">
        <f>' بدور عبيد الله العوفي '!$D$22</f>
        <v>10111.83861378533</v>
      </c>
      <c r="I26" s="39">
        <f>' بدور عبيد الله العوفي '!$D$23</f>
        <v>0</v>
      </c>
      <c r="J26" s="39">
        <f t="shared" si="0"/>
        <v>10111.83861378533</v>
      </c>
    </row>
    <row r="27" spans="1:10" ht="24.75" customHeight="1" thickBot="1">
      <c r="A27" s="42">
        <v>24</v>
      </c>
      <c r="B27" s="3" t="s">
        <v>213</v>
      </c>
      <c r="C27" s="3">
        <v>1</v>
      </c>
      <c r="D27" s="39">
        <f>'عبدالرحمن محمد خضر الصاعدي'!$D$9</f>
        <v>28027.686956521746</v>
      </c>
      <c r="E27" s="39">
        <f>'عبدالرحمن محمد خضر الصاعدي'!$D$17</f>
        <v>3186.9140630219999</v>
      </c>
      <c r="F27" s="39">
        <f>'عبدالرحمن محمد خضر الصاعدي'!$D$20</f>
        <v>17388.541025449824</v>
      </c>
      <c r="G27" s="39">
        <f>'عبدالرحمن محمد خضر الصاعدي'!$D$21</f>
        <v>0</v>
      </c>
      <c r="H27" s="39">
        <f>'عبدالرحمن محمد خضر الصاعدي'!$D$22</f>
        <v>17388.541025449824</v>
      </c>
      <c r="I27" s="39">
        <f>'عبدالرحمن محمد خضر الصاعدي'!$D$23</f>
        <v>0</v>
      </c>
      <c r="J27" s="39">
        <f t="shared" si="0"/>
        <v>17388.541025449824</v>
      </c>
    </row>
    <row r="28" spans="1:10" ht="24.75" customHeight="1" thickBot="1">
      <c r="A28" s="42">
        <v>25</v>
      </c>
      <c r="B28" s="3" t="s">
        <v>214</v>
      </c>
      <c r="C28" s="3">
        <v>1</v>
      </c>
      <c r="D28" s="39">
        <f>' سعيد سلطان الشهراني'!$D$9</f>
        <v>28113.843478260875</v>
      </c>
      <c r="E28" s="39">
        <f>' سعيد سلطان الشهراني'!$D$17</f>
        <v>2004.0695353400001</v>
      </c>
      <c r="F28" s="39">
        <f>' سعيد سلطان الشهراني'!$D$20</f>
        <v>18276.841760044612</v>
      </c>
      <c r="G28" s="39">
        <f>' سعيد سلطان الشهراني'!$D$21</f>
        <v>6000</v>
      </c>
      <c r="H28" s="39">
        <f>' سعيد سلطان الشهراني'!$D$22</f>
        <v>12276.841760044612</v>
      </c>
      <c r="I28" s="39">
        <f>' سعيد سلطان الشهراني'!$D$23</f>
        <v>0</v>
      </c>
      <c r="J28" s="39">
        <f t="shared" si="0"/>
        <v>12276.841760044612</v>
      </c>
    </row>
    <row r="29" spans="1:10" ht="24.75" customHeight="1" thickBot="1">
      <c r="A29" s="42">
        <v>26</v>
      </c>
      <c r="B29" s="3" t="s">
        <v>215</v>
      </c>
      <c r="C29" s="3">
        <v>1</v>
      </c>
      <c r="D29" s="39">
        <f>'غازي ناير الجهني'!$D$9</f>
        <v>22717.391304347828</v>
      </c>
      <c r="E29" s="39">
        <f>'غازي ناير الجهني'!$D$17</f>
        <v>1701.3832075969999</v>
      </c>
      <c r="F29" s="39">
        <f>'غازي ناير الجهني'!$D$20</f>
        <v>14711.20566772558</v>
      </c>
      <c r="G29" s="39">
        <f>'غازي ناير الجهني'!$D$21</f>
        <v>0</v>
      </c>
      <c r="H29" s="39">
        <f>'غازي ناير الجهني'!$D$22</f>
        <v>14711.20566772558</v>
      </c>
      <c r="I29" s="39">
        <f>'غازي ناير الجهني'!$D$23</f>
        <v>11151</v>
      </c>
      <c r="J29" s="39">
        <f t="shared" si="0"/>
        <v>25862.205667725582</v>
      </c>
    </row>
    <row r="30" spans="1:10" ht="24.75" customHeight="1" thickBot="1">
      <c r="A30" s="42">
        <v>27</v>
      </c>
      <c r="B30" s="3" t="s">
        <v>216</v>
      </c>
      <c r="C30" s="3">
        <v>2</v>
      </c>
      <c r="D30" s="39">
        <f>'غيث العوفي'!$N$9</f>
        <v>38554.243478260876</v>
      </c>
      <c r="E30" s="39">
        <f>'غيث العوفي'!$N$17</f>
        <v>4541.0516347040002</v>
      </c>
      <c r="F30" s="39">
        <f>'غيث العوفي'!$N$20</f>
        <v>23809.234290489814</v>
      </c>
      <c r="G30" s="39">
        <f>'غيث العوفي'!$N$21</f>
        <v>0</v>
      </c>
      <c r="H30" s="39">
        <f>'غيث العوفي'!$N$22</f>
        <v>23809.234290489814</v>
      </c>
      <c r="I30" s="39">
        <f>'غيث العوفي'!$N$23</f>
        <v>9969</v>
      </c>
      <c r="J30" s="39">
        <f t="shared" si="0"/>
        <v>33778.234290489811</v>
      </c>
    </row>
    <row r="31" spans="1:10" ht="24.75" customHeight="1" thickBot="1">
      <c r="A31" s="42">
        <v>28</v>
      </c>
      <c r="B31" s="3" t="s">
        <v>217</v>
      </c>
      <c r="C31" s="3">
        <v>2</v>
      </c>
      <c r="D31" s="39">
        <f>'غلا العوفي'!$N$9</f>
        <v>27477.660869565221</v>
      </c>
      <c r="E31" s="39">
        <f>'غلا العوفي'!$N$17</f>
        <v>3924.8480592490005</v>
      </c>
      <c r="F31" s="39">
        <f>'غلا العوفي'!$N$20</f>
        <v>16486.968967221357</v>
      </c>
      <c r="G31" s="39">
        <f>'غلا العوفي'!$N$21</f>
        <v>0</v>
      </c>
      <c r="H31" s="39">
        <f>'غلا العوفي'!$N$22</f>
        <v>16486.968967221357</v>
      </c>
      <c r="I31" s="39">
        <f>'غلا العوفي'!$N$23</f>
        <v>9457</v>
      </c>
      <c r="J31" s="39">
        <f t="shared" si="0"/>
        <v>25943.968967221357</v>
      </c>
    </row>
    <row r="32" spans="1:10" ht="24.75" customHeight="1" thickBot="1">
      <c r="A32" s="42">
        <v>29</v>
      </c>
      <c r="B32" s="3" t="s">
        <v>218</v>
      </c>
      <c r="C32" s="3">
        <v>1</v>
      </c>
      <c r="D32" s="39">
        <f>'حنان حمدان'!$D$9</f>
        <v>22259.565217391308</v>
      </c>
      <c r="E32" s="39">
        <f>'حنان حمدان'!$D$17</f>
        <v>2092.7506990219999</v>
      </c>
      <c r="F32" s="39">
        <f>'حنان حمدان'!$D$20</f>
        <v>14116.770162858516</v>
      </c>
      <c r="G32" s="39">
        <f>'حنان حمدان'!$D$21</f>
        <v>0</v>
      </c>
      <c r="H32" s="39">
        <f>'حنان حمدان'!$D$22</f>
        <v>14116.770162858516</v>
      </c>
      <c r="I32" s="39">
        <f>'حنان حمدان'!$D$23</f>
        <v>13693</v>
      </c>
      <c r="J32" s="39">
        <f t="shared" si="0"/>
        <v>27809.770162858516</v>
      </c>
    </row>
    <row r="33" spans="1:10" ht="24.75" customHeight="1" thickBot="1">
      <c r="A33" s="42">
        <v>30</v>
      </c>
      <c r="B33" s="3" t="s">
        <v>219</v>
      </c>
      <c r="C33" s="3">
        <v>2</v>
      </c>
      <c r="D33" s="39">
        <f>'ابو غلا + أبو لانا'!$N$9</f>
        <v>60116.443478260873</v>
      </c>
      <c r="E33" s="39">
        <f>'ابو غلا + أبو لانا'!$N$17</f>
        <v>8063.2119918799999</v>
      </c>
      <c r="F33" s="39">
        <f>'ابو غلا + أبو لانا'!$N$20</f>
        <v>36437.262040466609</v>
      </c>
      <c r="G33" s="39">
        <f>'ابو غلا + أبو لانا'!$N$21</f>
        <v>0</v>
      </c>
      <c r="H33" s="39">
        <f>'ابو غلا + أبو لانا'!$N$22</f>
        <v>36437.262040466609</v>
      </c>
      <c r="I33" s="39">
        <f>'ابو غلا + أبو لانا'!$N$23</f>
        <v>75019</v>
      </c>
      <c r="J33" s="39">
        <f t="shared" si="0"/>
        <v>111456.26204046661</v>
      </c>
    </row>
    <row r="34" spans="1:10" ht="24.75" customHeight="1" thickBot="1">
      <c r="A34" s="42">
        <v>31</v>
      </c>
      <c r="B34" s="3" t="s">
        <v>304</v>
      </c>
      <c r="C34" s="3">
        <v>2</v>
      </c>
      <c r="D34" s="39">
        <f>'احمد عبيدالله'!$N$9</f>
        <v>50685.402173913048</v>
      </c>
      <c r="E34" s="39">
        <f>'احمد عبيدالله'!$N$17</f>
        <v>9895.0714962279999</v>
      </c>
      <c r="F34" s="39">
        <f>'احمد عبيدالله'!$N$20</f>
        <v>28553.231474379532</v>
      </c>
      <c r="G34" s="39">
        <f>'احمد عبيدالله'!$N$21</f>
        <v>0</v>
      </c>
      <c r="H34" s="39">
        <f>'احمد عبيدالله'!$N$22</f>
        <v>28553.231474379532</v>
      </c>
      <c r="I34" s="39">
        <f>'احمد عبيدالله'!$N$23</f>
        <v>0</v>
      </c>
      <c r="J34" s="39">
        <f t="shared" si="0"/>
        <v>28553.231474379532</v>
      </c>
    </row>
    <row r="35" spans="1:10" ht="24.75" customHeight="1" thickBot="1">
      <c r="A35" s="42">
        <v>32</v>
      </c>
      <c r="B35" s="3" t="s">
        <v>220</v>
      </c>
      <c r="C35" s="3">
        <v>1</v>
      </c>
      <c r="D35" s="39">
        <f>'احمد الشاماني'!$D$9</f>
        <v>19061.043478260872</v>
      </c>
      <c r="E35" s="39">
        <f>'احمد الشاماني'!$D$17</f>
        <v>3087.3071806799999</v>
      </c>
      <c r="F35" s="39">
        <f>'احمد الشاماني'!$D$20</f>
        <v>11181.61540830661</v>
      </c>
      <c r="G35" s="39">
        <f>'احمد الشاماني'!$D$21</f>
        <v>0</v>
      </c>
      <c r="H35" s="39">
        <f>'احمد الشاماني'!$D$22</f>
        <v>11181.61540830661</v>
      </c>
      <c r="I35" s="39">
        <f>'احمد الشاماني'!$D$23</f>
        <v>0</v>
      </c>
      <c r="J35" s="39">
        <f t="shared" si="0"/>
        <v>11181.61540830661</v>
      </c>
    </row>
    <row r="36" spans="1:10" ht="24.75" customHeight="1" thickBot="1">
      <c r="A36" s="42">
        <v>33</v>
      </c>
      <c r="B36" s="3" t="s">
        <v>221</v>
      </c>
      <c r="C36" s="3">
        <v>1</v>
      </c>
      <c r="D36" s="39">
        <f>'عبدالرحمن حمدان العوفي'!$D$9</f>
        <v>47750.434782608703</v>
      </c>
      <c r="E36" s="39">
        <f>'عبدالرحمن حمدان العوفي'!$D$17</f>
        <v>6897.4700585500004</v>
      </c>
      <c r="F36" s="39">
        <f>'عبدالرحمن حمدان العوفي'!$D$20</f>
        <v>28597.075306841092</v>
      </c>
      <c r="G36" s="39">
        <f>'عبدالرحمن حمدان العوفي'!$D$21</f>
        <v>0</v>
      </c>
      <c r="H36" s="39">
        <f>'عبدالرحمن حمدان العوفي'!$D$22</f>
        <v>28597.075306841092</v>
      </c>
      <c r="I36" s="39">
        <f>'عبدالرحمن حمدان العوفي'!$D$23</f>
        <v>-3146.8290000000002</v>
      </c>
      <c r="J36" s="39">
        <f t="shared" si="0"/>
        <v>25450.246306841091</v>
      </c>
    </row>
    <row r="37" spans="1:10" ht="24.75" customHeight="1" thickBot="1">
      <c r="A37" s="42">
        <v>34</v>
      </c>
      <c r="B37" s="3" t="s">
        <v>254</v>
      </c>
      <c r="C37" s="3">
        <v>1</v>
      </c>
      <c r="D37" s="39">
        <f>'رايد حمدان العلوني الجهني'!$D$9</f>
        <v>18060.434782608696</v>
      </c>
      <c r="E37" s="39">
        <f>'رايد حمدان العلوني الجهني'!$D$17</f>
        <v>1725.84310734</v>
      </c>
      <c r="F37" s="39">
        <f>'رايد حمدان العلوني الجهني'!$D$20</f>
        <v>11434.214172688087</v>
      </c>
      <c r="G37" s="39">
        <f>'رايد حمدان العلوني الجهني'!$D$21</f>
        <v>0</v>
      </c>
      <c r="H37" s="39">
        <f>'رايد حمدان العلوني الجهني'!$D$22</f>
        <v>11434.214172688087</v>
      </c>
      <c r="I37" s="39">
        <f>'رايد حمدان العلوني الجهني'!$D$23</f>
        <v>0</v>
      </c>
      <c r="J37" s="39">
        <f t="shared" si="0"/>
        <v>11434.214172688087</v>
      </c>
    </row>
    <row r="38" spans="1:10" ht="24.75" customHeight="1" thickBot="1">
      <c r="A38" s="42">
        <v>35</v>
      </c>
      <c r="B38" s="3" t="s">
        <v>326</v>
      </c>
      <c r="C38" s="3">
        <v>1</v>
      </c>
      <c r="D38" s="39">
        <f>'ماطر ناير راشد العلواني الجهني'!$D$9</f>
        <v>17792.165217391306</v>
      </c>
      <c r="E38" s="39">
        <f>'ماطر ناير راشد العلواني الجهني'!$D$17</f>
        <v>1926.6568069399998</v>
      </c>
      <c r="F38" s="39">
        <f>'ماطر ناير راشد العلواني الجهني'!$D$20</f>
        <v>11105.855887315915</v>
      </c>
      <c r="G38" s="39">
        <f>'ماطر ناير راشد العلواني الجهني'!$D$21</f>
        <v>0</v>
      </c>
      <c r="H38" s="39">
        <f>'ماطر ناير راشد العلواني الجهني'!$D$22</f>
        <v>11105.855887315915</v>
      </c>
      <c r="I38" s="39">
        <f>'ماطر ناير راشد العلواني الجهني'!$D$23</f>
        <v>0</v>
      </c>
      <c r="J38" s="39">
        <f t="shared" si="0"/>
        <v>11105.855887315915</v>
      </c>
    </row>
    <row r="39" spans="1:10" ht="24.75" customHeight="1" thickBot="1">
      <c r="A39" s="42">
        <v>36</v>
      </c>
      <c r="B39" s="3" t="s">
        <v>255</v>
      </c>
      <c r="C39" s="3">
        <v>2</v>
      </c>
      <c r="D39" s="39">
        <f>'ملك عبدالرحمن العوفى'!$N$9</f>
        <v>31119.773913043482</v>
      </c>
      <c r="E39" s="39">
        <f>'ملك عبدالرحمن العوفى'!$N$17</f>
        <v>2735.0659965549999</v>
      </c>
      <c r="F39" s="39">
        <f>'ملك عبدالرحمن العوفى'!$N$20</f>
        <v>19869.295541541935</v>
      </c>
      <c r="G39" s="39">
        <f>'ملك عبدالرحمن العوفى'!$N$21</f>
        <v>0</v>
      </c>
      <c r="H39" s="39">
        <f>'ملك عبدالرحمن العوفى'!$N$22</f>
        <v>19869.295541541935</v>
      </c>
      <c r="I39" s="39">
        <f>'ملك عبدالرحمن العوفى'!$N$23</f>
        <v>0</v>
      </c>
      <c r="J39" s="39">
        <f t="shared" si="0"/>
        <v>19869.295541541935</v>
      </c>
    </row>
    <row r="40" spans="1:10" ht="24.75" hidden="1" customHeight="1" thickBot="1">
      <c r="A40" s="3">
        <v>37</v>
      </c>
      <c r="B40" s="3"/>
      <c r="C40" s="3"/>
      <c r="D40" s="39"/>
      <c r="E40" s="39"/>
      <c r="F40" s="39"/>
      <c r="G40" s="39"/>
      <c r="H40" s="39"/>
      <c r="I40" s="39"/>
      <c r="J40" s="39">
        <f t="shared" si="0"/>
        <v>0</v>
      </c>
    </row>
    <row r="41" spans="1:10" ht="24.75" hidden="1" customHeight="1" thickBot="1">
      <c r="A41" s="3">
        <v>38</v>
      </c>
      <c r="B41" s="3"/>
      <c r="C41" s="3"/>
      <c r="D41" s="3"/>
      <c r="E41" s="3"/>
      <c r="F41" s="3"/>
      <c r="G41" s="3"/>
      <c r="H41" s="3"/>
      <c r="I41" s="39"/>
      <c r="J41" s="39">
        <f t="shared" si="0"/>
        <v>0</v>
      </c>
    </row>
    <row r="42" spans="1:10" ht="24.75" hidden="1" customHeight="1" thickBot="1">
      <c r="A42" s="3">
        <v>39</v>
      </c>
      <c r="B42" s="3"/>
      <c r="C42" s="3"/>
      <c r="D42" s="3"/>
      <c r="E42" s="3"/>
      <c r="F42" s="3"/>
      <c r="G42" s="3"/>
      <c r="H42" s="3"/>
      <c r="I42" s="39"/>
      <c r="J42" s="39">
        <f t="shared" si="0"/>
        <v>0</v>
      </c>
    </row>
    <row r="43" spans="1:10" ht="24.75" hidden="1" customHeight="1" thickBot="1">
      <c r="A43" s="3">
        <v>40</v>
      </c>
      <c r="B43" s="3"/>
      <c r="C43" s="3"/>
      <c r="D43" s="3"/>
      <c r="E43" s="3"/>
      <c r="F43" s="3"/>
      <c r="G43" s="3"/>
      <c r="H43" s="3"/>
      <c r="I43" s="39"/>
      <c r="J43" s="39">
        <f t="shared" si="0"/>
        <v>0</v>
      </c>
    </row>
    <row r="44" spans="1:10" ht="24.75" hidden="1" customHeight="1" thickBot="1">
      <c r="A44" s="3">
        <v>41</v>
      </c>
      <c r="B44" s="3"/>
      <c r="C44" s="3"/>
      <c r="D44" s="3"/>
      <c r="E44" s="3"/>
      <c r="F44" s="3"/>
      <c r="G44" s="3"/>
      <c r="H44" s="3"/>
      <c r="I44" s="39"/>
      <c r="J44" s="39">
        <f t="shared" si="0"/>
        <v>0</v>
      </c>
    </row>
    <row r="45" spans="1:10" ht="24.75" hidden="1" customHeight="1" thickBot="1">
      <c r="A45" s="3">
        <v>42</v>
      </c>
      <c r="B45" s="3"/>
      <c r="C45" s="3"/>
      <c r="D45" s="3"/>
      <c r="E45" s="3"/>
      <c r="F45" s="3"/>
      <c r="G45" s="3"/>
      <c r="H45" s="3"/>
      <c r="I45" s="39"/>
      <c r="J45" s="39">
        <f t="shared" si="0"/>
        <v>0</v>
      </c>
    </row>
    <row r="46" spans="1:10" ht="24.75" hidden="1" customHeight="1" thickBot="1">
      <c r="A46" s="3">
        <v>43</v>
      </c>
      <c r="B46" s="3"/>
      <c r="C46" s="3"/>
      <c r="D46" s="3"/>
      <c r="E46" s="3"/>
      <c r="F46" s="3"/>
      <c r="G46" s="3"/>
      <c r="H46" s="3"/>
      <c r="I46" s="39"/>
      <c r="J46" s="39">
        <f t="shared" si="0"/>
        <v>0</v>
      </c>
    </row>
    <row r="47" spans="1:10" ht="18" hidden="1" thickBot="1">
      <c r="A47" s="3">
        <v>44</v>
      </c>
      <c r="B47" s="3"/>
      <c r="C47" s="3"/>
      <c r="D47" s="3"/>
      <c r="E47" s="3"/>
      <c r="F47" s="3"/>
      <c r="G47" s="3"/>
      <c r="H47" s="3"/>
      <c r="I47" s="39"/>
      <c r="J47" s="39">
        <f t="shared" si="0"/>
        <v>0</v>
      </c>
    </row>
    <row r="48" spans="1:10" ht="18" hidden="1" thickBot="1">
      <c r="A48" s="3">
        <v>45</v>
      </c>
      <c r="B48" s="3"/>
      <c r="C48" s="3"/>
      <c r="D48" s="3"/>
      <c r="E48" s="3"/>
      <c r="F48" s="3"/>
      <c r="G48" s="3"/>
      <c r="H48" s="3"/>
      <c r="I48" s="39"/>
      <c r="J48" s="39">
        <f t="shared" si="0"/>
        <v>0</v>
      </c>
    </row>
    <row r="49" spans="1:10" ht="18" hidden="1" thickBot="1">
      <c r="A49" s="3">
        <v>46</v>
      </c>
      <c r="B49" s="3"/>
      <c r="C49" s="3"/>
      <c r="D49" s="3"/>
      <c r="E49" s="3"/>
      <c r="F49" s="3"/>
      <c r="G49" s="3"/>
      <c r="H49" s="3"/>
      <c r="I49" s="39"/>
      <c r="J49" s="39">
        <f t="shared" si="0"/>
        <v>0</v>
      </c>
    </row>
    <row r="50" spans="1:10" ht="18" hidden="1" thickBot="1">
      <c r="A50" s="3">
        <v>47</v>
      </c>
      <c r="B50" s="3"/>
      <c r="C50" s="3"/>
      <c r="D50" s="3"/>
      <c r="E50" s="3"/>
      <c r="F50" s="3"/>
      <c r="G50" s="3"/>
      <c r="H50" s="3"/>
      <c r="I50" s="39"/>
      <c r="J50" s="39">
        <f t="shared" si="0"/>
        <v>0</v>
      </c>
    </row>
    <row r="51" spans="1:10" ht="18" hidden="1" thickBot="1">
      <c r="A51" s="3">
        <v>48</v>
      </c>
      <c r="B51" s="3"/>
      <c r="C51" s="3"/>
      <c r="D51" s="3"/>
      <c r="E51" s="3"/>
      <c r="F51" s="3"/>
      <c r="G51" s="3"/>
      <c r="H51" s="3"/>
      <c r="I51" s="39"/>
      <c r="J51" s="39">
        <f t="shared" si="0"/>
        <v>0</v>
      </c>
    </row>
    <row r="52" spans="1:10" ht="18" hidden="1" thickBot="1">
      <c r="A52" s="3">
        <v>49</v>
      </c>
      <c r="B52" s="3"/>
      <c r="C52" s="3"/>
      <c r="D52" s="3"/>
      <c r="E52" s="3"/>
      <c r="F52" s="3"/>
      <c r="G52" s="3"/>
      <c r="H52" s="3"/>
      <c r="I52" s="39"/>
      <c r="J52" s="39">
        <f t="shared" si="0"/>
        <v>0</v>
      </c>
    </row>
    <row r="53" spans="1:10" ht="18" hidden="1" thickBot="1">
      <c r="A53" s="3">
        <v>50</v>
      </c>
      <c r="B53" s="3"/>
      <c r="C53" s="3"/>
      <c r="D53" s="3"/>
      <c r="E53" s="3"/>
      <c r="F53" s="3"/>
      <c r="G53" s="3"/>
      <c r="H53" s="3"/>
      <c r="I53" s="39"/>
      <c r="J53" s="39">
        <f t="shared" si="0"/>
        <v>0</v>
      </c>
    </row>
    <row r="54" spans="1:10" ht="18" hidden="1" thickBot="1">
      <c r="A54" s="3">
        <v>51</v>
      </c>
      <c r="B54" s="3"/>
      <c r="C54" s="3"/>
      <c r="D54" s="3"/>
      <c r="E54" s="3"/>
      <c r="F54" s="3"/>
      <c r="G54" s="3"/>
      <c r="H54" s="3"/>
      <c r="I54" s="39"/>
      <c r="J54" s="39">
        <f t="shared" si="0"/>
        <v>0</v>
      </c>
    </row>
    <row r="55" spans="1:10" ht="18" hidden="1" thickBot="1">
      <c r="A55" s="3">
        <v>52</v>
      </c>
      <c r="B55" s="3"/>
      <c r="C55" s="3"/>
      <c r="D55" s="3"/>
      <c r="E55" s="3"/>
      <c r="F55" s="3"/>
      <c r="G55" s="3"/>
      <c r="H55" s="3"/>
      <c r="I55" s="39"/>
      <c r="J55" s="39">
        <f t="shared" si="0"/>
        <v>0</v>
      </c>
    </row>
    <row r="56" spans="1:10" ht="18" hidden="1" thickBot="1">
      <c r="A56" s="3">
        <v>53</v>
      </c>
      <c r="B56" s="3"/>
      <c r="C56" s="3"/>
      <c r="D56" s="3"/>
      <c r="E56" s="3"/>
      <c r="F56" s="3"/>
      <c r="G56" s="3"/>
      <c r="H56" s="3"/>
      <c r="I56" s="39"/>
      <c r="J56" s="39">
        <f t="shared" si="0"/>
        <v>0</v>
      </c>
    </row>
    <row r="57" spans="1:10" ht="18" hidden="1" thickBot="1">
      <c r="A57" s="3">
        <v>54</v>
      </c>
      <c r="B57" s="3"/>
      <c r="C57" s="3"/>
      <c r="D57" s="3"/>
      <c r="E57" s="3"/>
      <c r="F57" s="3"/>
      <c r="G57" s="3"/>
      <c r="H57" s="3"/>
      <c r="I57" s="39"/>
      <c r="J57" s="39">
        <f t="shared" si="0"/>
        <v>0</v>
      </c>
    </row>
    <row r="58" spans="1:10" ht="17.25" hidden="1">
      <c r="A58" s="74">
        <v>55</v>
      </c>
      <c r="B58" s="74"/>
      <c r="C58" s="74"/>
      <c r="D58" s="74"/>
      <c r="E58" s="74"/>
      <c r="F58" s="74"/>
      <c r="G58" s="74"/>
      <c r="H58" s="74"/>
      <c r="I58" s="75"/>
      <c r="J58" s="75">
        <f t="shared" si="0"/>
        <v>0</v>
      </c>
    </row>
    <row r="59" spans="1:10" ht="24.75" customHeight="1">
      <c r="A59" s="102"/>
      <c r="B59" s="102" t="s">
        <v>285</v>
      </c>
      <c r="C59" s="125">
        <f t="shared" ref="C59:I59" si="1">SUM(C4:C58)</f>
        <v>86</v>
      </c>
      <c r="D59" s="103">
        <f t="shared" si="1"/>
        <v>1772096.9108695658</v>
      </c>
      <c r="E59" s="103">
        <f t="shared" si="1"/>
        <v>239042.81477613203</v>
      </c>
      <c r="F59" s="103">
        <f t="shared" si="1"/>
        <v>1081826.0892654033</v>
      </c>
      <c r="G59" s="103">
        <f t="shared" si="1"/>
        <v>66343</v>
      </c>
      <c r="H59" s="103">
        <f t="shared" si="1"/>
        <v>1015483.0892654032</v>
      </c>
      <c r="I59" s="103">
        <f t="shared" si="1"/>
        <v>550926.22399999993</v>
      </c>
      <c r="J59" s="103">
        <f>SUM(J4:J58)</f>
        <v>1566409.3132654037</v>
      </c>
    </row>
    <row r="60" spans="1:10">
      <c r="A60" s="90"/>
      <c r="B60" s="90"/>
      <c r="C60" s="90"/>
      <c r="D60" s="90"/>
      <c r="E60" s="90"/>
      <c r="F60" s="90"/>
      <c r="G60" s="90"/>
      <c r="H60" s="90"/>
      <c r="I60" s="90"/>
      <c r="J60" s="90"/>
    </row>
    <row r="61" spans="1:10">
      <c r="A61" s="90"/>
      <c r="B61" s="90"/>
      <c r="C61" s="90"/>
      <c r="D61" s="90"/>
      <c r="E61" s="90"/>
      <c r="F61" s="90"/>
      <c r="G61" s="90"/>
      <c r="H61" s="90"/>
      <c r="I61" s="91"/>
      <c r="J61" s="91"/>
    </row>
    <row r="62" spans="1:10">
      <c r="A62" s="90"/>
      <c r="B62" s="90"/>
      <c r="C62" s="90"/>
      <c r="D62" s="90"/>
      <c r="E62" s="90"/>
      <c r="F62" s="90"/>
      <c r="G62" s="90"/>
      <c r="H62" s="90"/>
      <c r="I62" s="90"/>
      <c r="J62" s="90"/>
    </row>
    <row r="63" spans="1:10">
      <c r="A63" s="90"/>
      <c r="B63" s="90"/>
      <c r="C63" s="90"/>
      <c r="D63" s="90"/>
      <c r="E63" s="90"/>
      <c r="F63" s="90"/>
      <c r="G63" s="90"/>
      <c r="H63" s="90"/>
      <c r="I63" s="91"/>
      <c r="J63" s="91"/>
    </row>
    <row r="64" spans="1:10">
      <c r="A64" s="90"/>
      <c r="B64" s="90"/>
      <c r="C64" s="90"/>
      <c r="D64" s="90"/>
      <c r="E64" s="90"/>
      <c r="F64" s="90"/>
      <c r="G64" s="90"/>
      <c r="H64" s="90"/>
      <c r="I64" s="90"/>
      <c r="J64" s="90"/>
    </row>
    <row r="65" spans="1:10">
      <c r="A65" s="90"/>
      <c r="B65" s="90"/>
      <c r="C65" s="90"/>
      <c r="D65" s="90"/>
      <c r="E65" s="90"/>
      <c r="F65" s="90"/>
      <c r="G65" s="90"/>
      <c r="H65" s="90"/>
      <c r="I65" s="90"/>
      <c r="J65" s="90"/>
    </row>
    <row r="66" spans="1:10">
      <c r="A66" s="90"/>
      <c r="B66" s="90"/>
      <c r="C66" s="90"/>
      <c r="D66" s="90"/>
      <c r="E66" s="90"/>
      <c r="F66" s="90"/>
      <c r="G66" s="90"/>
      <c r="H66" s="90"/>
      <c r="I66" s="90"/>
      <c r="J66" s="90"/>
    </row>
    <row r="67" spans="1:10">
      <c r="A67" s="90"/>
      <c r="B67" s="90"/>
      <c r="C67" s="90"/>
      <c r="D67" s="90"/>
      <c r="E67" s="90"/>
      <c r="F67" s="90"/>
      <c r="G67" s="90"/>
      <c r="H67" s="90"/>
      <c r="I67" s="90"/>
      <c r="J67" s="90"/>
    </row>
    <row r="68" spans="1:10">
      <c r="A68" s="90"/>
      <c r="B68" s="90"/>
      <c r="C68" s="90"/>
      <c r="D68" s="90"/>
      <c r="E68" s="90"/>
      <c r="F68" s="90"/>
      <c r="G68" s="90"/>
      <c r="H68" s="90"/>
      <c r="I68" s="90"/>
      <c r="J68" s="90"/>
    </row>
    <row r="69" spans="1:10">
      <c r="A69" s="90"/>
      <c r="B69" s="90"/>
      <c r="C69" s="90"/>
      <c r="D69" s="90"/>
      <c r="E69" s="90"/>
      <c r="F69" s="90"/>
      <c r="G69" s="90"/>
      <c r="H69" s="90"/>
      <c r="I69" s="90"/>
      <c r="J69" s="90"/>
    </row>
    <row r="70" spans="1:10">
      <c r="A70" s="90"/>
      <c r="B70" s="90"/>
      <c r="C70" s="90"/>
      <c r="D70" s="90"/>
      <c r="E70" s="90"/>
      <c r="F70" s="90"/>
      <c r="G70" s="90"/>
      <c r="H70" s="90"/>
      <c r="I70" s="90"/>
      <c r="J70" s="90"/>
    </row>
    <row r="71" spans="1:10">
      <c r="A71" s="90"/>
      <c r="B71" s="90"/>
      <c r="C71" s="90"/>
      <c r="D71" s="90"/>
      <c r="E71" s="90"/>
      <c r="F71" s="90"/>
      <c r="G71" s="90"/>
      <c r="H71" s="90"/>
      <c r="I71" s="90"/>
      <c r="J71" s="90"/>
    </row>
    <row r="72" spans="1:10">
      <c r="A72" s="90"/>
      <c r="B72" s="90"/>
      <c r="C72" s="90"/>
      <c r="D72" s="90"/>
      <c r="E72" s="90"/>
      <c r="F72" s="90"/>
      <c r="G72" s="90"/>
      <c r="H72" s="90"/>
      <c r="I72" s="90"/>
      <c r="J72" s="90"/>
    </row>
    <row r="73" spans="1:10">
      <c r="A73" s="90"/>
      <c r="B73" s="90"/>
      <c r="C73" s="90"/>
      <c r="D73" s="90"/>
      <c r="E73" s="90"/>
      <c r="F73" s="90"/>
      <c r="G73" s="90"/>
      <c r="H73" s="90"/>
      <c r="I73" s="90"/>
      <c r="J73" s="90"/>
    </row>
    <row r="74" spans="1:10">
      <c r="A74" s="90"/>
      <c r="B74" s="90"/>
      <c r="C74" s="90"/>
      <c r="D74" s="90"/>
      <c r="E74" s="90"/>
      <c r="F74" s="90"/>
      <c r="G74" s="90"/>
      <c r="H74" s="90"/>
      <c r="I74" s="90"/>
      <c r="J74" s="90"/>
    </row>
    <row r="75" spans="1:10">
      <c r="A75" s="90"/>
      <c r="B75" s="90"/>
      <c r="C75" s="90"/>
      <c r="D75" s="90"/>
      <c r="E75" s="90"/>
      <c r="F75" s="90"/>
      <c r="G75" s="90"/>
      <c r="H75" s="90"/>
      <c r="I75" s="90"/>
      <c r="J75" s="90"/>
    </row>
    <row r="76" spans="1:10">
      <c r="A76" s="90"/>
      <c r="B76" s="90"/>
      <c r="C76" s="90"/>
      <c r="D76" s="90"/>
      <c r="E76" s="90"/>
      <c r="F76" s="90"/>
      <c r="G76" s="90"/>
      <c r="H76" s="90"/>
      <c r="I76" s="90"/>
      <c r="J76" s="90"/>
    </row>
    <row r="77" spans="1:10">
      <c r="A77" s="90"/>
      <c r="B77" s="90"/>
      <c r="C77" s="90"/>
      <c r="D77" s="90"/>
      <c r="E77" s="90"/>
      <c r="F77" s="90"/>
      <c r="G77" s="90"/>
      <c r="H77" s="90"/>
      <c r="I77" s="90"/>
      <c r="J77" s="90"/>
    </row>
    <row r="78" spans="1:10">
      <c r="A78" s="90"/>
      <c r="B78" s="90"/>
      <c r="C78" s="90"/>
      <c r="D78" s="90"/>
      <c r="E78" s="90"/>
      <c r="F78" s="90"/>
      <c r="G78" s="90"/>
      <c r="H78" s="90"/>
      <c r="I78" s="90"/>
      <c r="J78" s="90"/>
    </row>
    <row r="79" spans="1:10">
      <c r="A79" s="90"/>
      <c r="B79" s="90"/>
      <c r="C79" s="90"/>
      <c r="D79" s="90"/>
      <c r="E79" s="90"/>
      <c r="F79" s="90"/>
      <c r="G79" s="90"/>
      <c r="H79" s="90"/>
      <c r="I79" s="90"/>
      <c r="J79" s="90"/>
    </row>
    <row r="80" spans="1:10">
      <c r="A80" s="90"/>
      <c r="B80" s="90"/>
      <c r="C80" s="90"/>
      <c r="D80" s="90"/>
      <c r="E80" s="90"/>
      <c r="F80" s="90"/>
      <c r="G80" s="90"/>
      <c r="H80" s="90"/>
      <c r="I80" s="90"/>
      <c r="J80" s="90"/>
    </row>
    <row r="81" spans="1:10">
      <c r="A81" s="90"/>
      <c r="B81" s="90"/>
      <c r="C81" s="90"/>
      <c r="D81" s="90"/>
      <c r="E81" s="90"/>
      <c r="F81" s="90"/>
      <c r="G81" s="90"/>
      <c r="H81" s="90"/>
      <c r="I81" s="90"/>
      <c r="J81" s="90"/>
    </row>
    <row r="82" spans="1:10">
      <c r="A82" s="90"/>
      <c r="B82" s="90"/>
      <c r="C82" s="90"/>
      <c r="D82" s="90"/>
      <c r="E82" s="90"/>
      <c r="F82" s="90"/>
      <c r="G82" s="90"/>
      <c r="H82" s="90"/>
      <c r="I82" s="90"/>
      <c r="J82" s="90"/>
    </row>
    <row r="83" spans="1:10">
      <c r="A83" s="90"/>
      <c r="B83" s="90"/>
      <c r="C83" s="90"/>
      <c r="D83" s="90"/>
      <c r="E83" s="90"/>
      <c r="F83" s="90"/>
      <c r="G83" s="90"/>
      <c r="H83" s="90"/>
      <c r="I83" s="90"/>
      <c r="J83" s="90"/>
    </row>
    <row r="84" spans="1:10">
      <c r="A84" s="90"/>
      <c r="B84" s="90"/>
      <c r="C84" s="90"/>
      <c r="D84" s="90"/>
      <c r="E84" s="90"/>
      <c r="F84" s="90"/>
      <c r="G84" s="90"/>
      <c r="H84" s="90"/>
      <c r="I84" s="90"/>
      <c r="J84" s="90"/>
    </row>
    <row r="85" spans="1:10">
      <c r="A85" s="90"/>
      <c r="B85" s="90"/>
      <c r="C85" s="90"/>
      <c r="D85" s="90"/>
      <c r="E85" s="90"/>
      <c r="F85" s="90"/>
      <c r="G85" s="90"/>
      <c r="H85" s="90"/>
      <c r="I85" s="90"/>
      <c r="J85" s="90"/>
    </row>
    <row r="86" spans="1:10">
      <c r="A86" s="90"/>
      <c r="B86" s="90"/>
      <c r="C86" s="90"/>
      <c r="D86" s="90"/>
      <c r="E86" s="90"/>
      <c r="F86" s="90"/>
      <c r="G86" s="90"/>
      <c r="H86" s="90"/>
      <c r="I86" s="90"/>
      <c r="J86" s="90"/>
    </row>
    <row r="87" spans="1:10">
      <c r="A87" s="90"/>
      <c r="B87" s="90"/>
      <c r="C87" s="90"/>
      <c r="D87" s="90"/>
      <c r="E87" s="90"/>
      <c r="F87" s="90"/>
      <c r="G87" s="90"/>
      <c r="H87" s="90"/>
      <c r="I87" s="90"/>
      <c r="J87" s="90"/>
    </row>
    <row r="88" spans="1:10">
      <c r="A88" s="90"/>
      <c r="B88" s="90"/>
      <c r="C88" s="90"/>
      <c r="D88" s="90"/>
      <c r="E88" s="90"/>
      <c r="F88" s="90"/>
      <c r="G88" s="90"/>
      <c r="H88" s="90"/>
      <c r="I88" s="90"/>
      <c r="J88" s="90"/>
    </row>
    <row r="89" spans="1:10">
      <c r="A89" s="90"/>
      <c r="B89" s="90"/>
      <c r="C89" s="90"/>
      <c r="D89" s="90"/>
      <c r="E89" s="90"/>
      <c r="F89" s="90"/>
      <c r="G89" s="90"/>
      <c r="H89" s="90"/>
      <c r="I89" s="90"/>
      <c r="J89" s="90"/>
    </row>
    <row r="90" spans="1:10">
      <c r="A90" s="90"/>
      <c r="B90" s="90"/>
      <c r="C90" s="90"/>
      <c r="D90" s="90"/>
      <c r="E90" s="90"/>
      <c r="F90" s="90"/>
      <c r="G90" s="90"/>
      <c r="H90" s="90"/>
      <c r="I90" s="90"/>
      <c r="J90" s="90"/>
    </row>
    <row r="91" spans="1:10">
      <c r="A91" s="90"/>
      <c r="B91" s="90"/>
      <c r="C91" s="90"/>
      <c r="D91" s="90"/>
      <c r="E91" s="90"/>
      <c r="F91" s="90"/>
      <c r="G91" s="90"/>
      <c r="H91" s="90"/>
      <c r="I91" s="90"/>
      <c r="J91" s="90"/>
    </row>
    <row r="92" spans="1:10">
      <c r="A92" s="90"/>
      <c r="B92" s="90"/>
      <c r="C92" s="90"/>
      <c r="D92" s="90"/>
      <c r="E92" s="90"/>
      <c r="F92" s="90"/>
      <c r="G92" s="90"/>
      <c r="H92" s="90"/>
      <c r="I92" s="90"/>
      <c r="J92" s="90"/>
    </row>
    <row r="93" spans="1:10">
      <c r="A93" s="90"/>
      <c r="B93" s="90"/>
      <c r="C93" s="90"/>
      <c r="D93" s="90"/>
      <c r="E93" s="90"/>
      <c r="F93" s="90"/>
      <c r="G93" s="90"/>
      <c r="H93" s="90"/>
      <c r="I93" s="90"/>
      <c r="J93" s="90"/>
    </row>
    <row r="94" spans="1:10">
      <c r="A94" s="90"/>
      <c r="B94" s="90"/>
      <c r="C94" s="90"/>
      <c r="D94" s="90"/>
      <c r="E94" s="90"/>
      <c r="F94" s="90"/>
      <c r="G94" s="90"/>
      <c r="H94" s="90"/>
      <c r="I94" s="90"/>
      <c r="J94" s="90"/>
    </row>
    <row r="95" spans="1:10">
      <c r="A95" s="90"/>
      <c r="B95" s="90"/>
      <c r="C95" s="90"/>
      <c r="D95" s="90"/>
      <c r="E95" s="90"/>
      <c r="F95" s="90"/>
      <c r="G95" s="90"/>
      <c r="H95" s="90"/>
      <c r="I95" s="90"/>
      <c r="J95" s="90"/>
    </row>
    <row r="96" spans="1:10">
      <c r="A96" s="90"/>
      <c r="B96" s="90"/>
      <c r="C96" s="90"/>
      <c r="D96" s="90"/>
      <c r="E96" s="90"/>
      <c r="F96" s="90"/>
      <c r="G96" s="90"/>
      <c r="H96" s="90"/>
      <c r="I96" s="90"/>
      <c r="J96" s="90"/>
    </row>
    <row r="97" spans="1:10">
      <c r="A97" s="90"/>
      <c r="B97" s="90"/>
      <c r="C97" s="90"/>
      <c r="D97" s="90"/>
      <c r="E97" s="90"/>
      <c r="F97" s="90"/>
      <c r="G97" s="90"/>
      <c r="H97" s="90"/>
      <c r="I97" s="90"/>
      <c r="J97" s="90"/>
    </row>
    <row r="98" spans="1:10">
      <c r="A98" s="90"/>
      <c r="B98" s="90"/>
      <c r="C98" s="90"/>
      <c r="D98" s="90"/>
      <c r="E98" s="90"/>
      <c r="F98" s="90"/>
      <c r="G98" s="90"/>
      <c r="H98" s="90"/>
      <c r="I98" s="90"/>
      <c r="J98" s="90"/>
    </row>
    <row r="99" spans="1:10">
      <c r="A99" s="90"/>
      <c r="B99" s="90"/>
      <c r="C99" s="90"/>
      <c r="D99" s="90"/>
      <c r="E99" s="90"/>
      <c r="F99" s="90"/>
      <c r="G99" s="90"/>
      <c r="H99" s="90"/>
      <c r="I99" s="90"/>
      <c r="J99" s="90"/>
    </row>
    <row r="100" spans="1:10">
      <c r="A100" s="90"/>
      <c r="B100" s="90"/>
      <c r="C100" s="90"/>
      <c r="D100" s="90"/>
      <c r="E100" s="90"/>
      <c r="F100" s="90"/>
      <c r="G100" s="90"/>
      <c r="H100" s="90"/>
      <c r="I100" s="90"/>
      <c r="J100" s="90"/>
    </row>
    <row r="101" spans="1:10">
      <c r="A101" s="90"/>
      <c r="B101" s="90"/>
      <c r="C101" s="90"/>
      <c r="D101" s="90"/>
      <c r="E101" s="90"/>
      <c r="F101" s="90"/>
      <c r="G101" s="90"/>
      <c r="H101" s="90"/>
      <c r="I101" s="90"/>
      <c r="J101" s="90"/>
    </row>
    <row r="102" spans="1:10">
      <c r="A102" s="90"/>
      <c r="B102" s="90"/>
      <c r="C102" s="90"/>
      <c r="D102" s="90"/>
      <c r="E102" s="90"/>
      <c r="F102" s="90"/>
      <c r="G102" s="90"/>
      <c r="H102" s="90"/>
      <c r="I102" s="90"/>
      <c r="J102" s="90"/>
    </row>
    <row r="103" spans="1:10">
      <c r="A103" s="90"/>
      <c r="B103" s="90"/>
      <c r="C103" s="90"/>
      <c r="D103" s="90"/>
      <c r="E103" s="90"/>
      <c r="F103" s="90"/>
      <c r="G103" s="90"/>
      <c r="H103" s="90"/>
      <c r="I103" s="90"/>
      <c r="J103" s="90"/>
    </row>
    <row r="104" spans="1:10">
      <c r="A104" s="90"/>
      <c r="B104" s="90"/>
      <c r="C104" s="90"/>
      <c r="D104" s="90"/>
      <c r="E104" s="90"/>
      <c r="F104" s="90"/>
      <c r="G104" s="90"/>
      <c r="H104" s="90"/>
      <c r="I104" s="90"/>
      <c r="J104" s="90"/>
    </row>
    <row r="105" spans="1:10">
      <c r="A105" s="90"/>
      <c r="B105" s="90"/>
      <c r="C105" s="90"/>
      <c r="D105" s="90"/>
      <c r="E105" s="90"/>
      <c r="F105" s="90"/>
      <c r="G105" s="90"/>
      <c r="H105" s="90"/>
      <c r="I105" s="90"/>
      <c r="J105" s="90"/>
    </row>
    <row r="106" spans="1:10">
      <c r="A106" s="90"/>
      <c r="B106" s="90"/>
      <c r="C106" s="90"/>
      <c r="D106" s="90"/>
      <c r="E106" s="90"/>
      <c r="F106" s="90"/>
      <c r="G106" s="90"/>
      <c r="H106" s="90"/>
      <c r="I106" s="90"/>
      <c r="J106" s="90"/>
    </row>
    <row r="107" spans="1:10">
      <c r="A107" s="90"/>
      <c r="B107" s="90"/>
      <c r="C107" s="90"/>
      <c r="D107" s="90"/>
      <c r="E107" s="90"/>
      <c r="F107" s="90"/>
      <c r="G107" s="90"/>
      <c r="H107" s="90"/>
      <c r="I107" s="90"/>
      <c r="J107" s="90"/>
    </row>
    <row r="108" spans="1:10">
      <c r="A108" s="90"/>
      <c r="B108" s="90"/>
      <c r="C108" s="90"/>
      <c r="D108" s="90"/>
      <c r="E108" s="90"/>
      <c r="F108" s="90"/>
      <c r="G108" s="90"/>
      <c r="H108" s="90"/>
      <c r="I108" s="90"/>
      <c r="J108" s="90"/>
    </row>
    <row r="109" spans="1:10">
      <c r="A109" s="90"/>
      <c r="B109" s="90"/>
      <c r="C109" s="90"/>
      <c r="D109" s="90"/>
      <c r="E109" s="90"/>
      <c r="F109" s="90"/>
      <c r="G109" s="90"/>
      <c r="H109" s="90"/>
      <c r="I109" s="90"/>
      <c r="J109" s="90"/>
    </row>
    <row r="110" spans="1:10">
      <c r="A110" s="90"/>
      <c r="B110" s="90"/>
      <c r="C110" s="90"/>
      <c r="D110" s="90"/>
      <c r="E110" s="90"/>
      <c r="F110" s="90"/>
      <c r="G110" s="90"/>
      <c r="H110" s="90"/>
      <c r="I110" s="90"/>
      <c r="J110" s="90"/>
    </row>
    <row r="111" spans="1:10">
      <c r="A111" s="90"/>
      <c r="B111" s="90"/>
      <c r="C111" s="90"/>
      <c r="D111" s="90"/>
      <c r="E111" s="90"/>
      <c r="F111" s="90"/>
      <c r="G111" s="90"/>
      <c r="H111" s="90"/>
      <c r="I111" s="90"/>
      <c r="J111" s="90"/>
    </row>
    <row r="112" spans="1:10">
      <c r="A112" s="90"/>
      <c r="B112" s="90"/>
      <c r="C112" s="90"/>
      <c r="D112" s="90"/>
      <c r="E112" s="90"/>
      <c r="F112" s="90"/>
      <c r="G112" s="90"/>
      <c r="H112" s="90"/>
      <c r="I112" s="90"/>
      <c r="J112" s="90"/>
    </row>
    <row r="113" spans="1:10">
      <c r="A113" s="90"/>
      <c r="B113" s="90"/>
      <c r="C113" s="90"/>
      <c r="D113" s="90"/>
      <c r="E113" s="90"/>
      <c r="F113" s="90"/>
      <c r="G113" s="90"/>
      <c r="H113" s="90"/>
      <c r="I113" s="90"/>
      <c r="J113" s="90"/>
    </row>
    <row r="114" spans="1:10">
      <c r="A114" s="90"/>
      <c r="B114" s="90"/>
      <c r="C114" s="90"/>
      <c r="D114" s="90"/>
      <c r="E114" s="90"/>
      <c r="F114" s="90"/>
      <c r="G114" s="90"/>
      <c r="H114" s="90"/>
      <c r="I114" s="90"/>
      <c r="J114" s="90"/>
    </row>
    <row r="115" spans="1:10">
      <c r="A115" s="90"/>
      <c r="B115" s="90"/>
      <c r="C115" s="90"/>
      <c r="D115" s="90"/>
      <c r="E115" s="90"/>
      <c r="F115" s="90"/>
      <c r="G115" s="90"/>
      <c r="H115" s="90"/>
      <c r="I115" s="90"/>
      <c r="J115" s="90"/>
    </row>
    <row r="116" spans="1:10">
      <c r="A116" s="90"/>
      <c r="B116" s="90"/>
      <c r="C116" s="90"/>
      <c r="D116" s="90"/>
      <c r="E116" s="90"/>
      <c r="F116" s="90"/>
      <c r="G116" s="90"/>
      <c r="H116" s="90"/>
      <c r="I116" s="90"/>
      <c r="J116" s="90"/>
    </row>
    <row r="117" spans="1:10">
      <c r="A117" s="90"/>
      <c r="B117" s="90"/>
      <c r="C117" s="90"/>
      <c r="D117" s="90"/>
      <c r="E117" s="90"/>
      <c r="F117" s="90"/>
      <c r="G117" s="90"/>
      <c r="H117" s="90"/>
      <c r="I117" s="90"/>
      <c r="J117" s="90"/>
    </row>
    <row r="118" spans="1:10">
      <c r="A118" s="90"/>
      <c r="B118" s="90"/>
      <c r="C118" s="90"/>
      <c r="D118" s="90"/>
      <c r="E118" s="90"/>
      <c r="F118" s="90"/>
      <c r="G118" s="90"/>
      <c r="H118" s="90"/>
      <c r="I118" s="90"/>
      <c r="J118" s="90"/>
    </row>
    <row r="119" spans="1:10">
      <c r="A119" s="90"/>
      <c r="B119" s="90"/>
      <c r="C119" s="90"/>
      <c r="D119" s="90"/>
      <c r="E119" s="90"/>
      <c r="F119" s="90"/>
      <c r="G119" s="90"/>
      <c r="H119" s="90"/>
      <c r="I119" s="90"/>
      <c r="J119" s="90"/>
    </row>
    <row r="120" spans="1:10">
      <c r="A120" s="90"/>
      <c r="B120" s="90"/>
      <c r="C120" s="90"/>
      <c r="D120" s="90"/>
      <c r="E120" s="90"/>
      <c r="F120" s="90"/>
      <c r="G120" s="90"/>
      <c r="H120" s="90"/>
      <c r="I120" s="90"/>
      <c r="J120" s="90"/>
    </row>
    <row r="121" spans="1:10">
      <c r="A121" s="90"/>
      <c r="B121" s="90"/>
      <c r="C121" s="90"/>
      <c r="D121" s="90"/>
      <c r="E121" s="90"/>
      <c r="F121" s="90"/>
      <c r="G121" s="90"/>
      <c r="H121" s="90"/>
      <c r="I121" s="90"/>
      <c r="J121" s="90"/>
    </row>
    <row r="122" spans="1:10">
      <c r="A122" s="90"/>
      <c r="B122" s="90"/>
      <c r="C122" s="90"/>
      <c r="D122" s="90"/>
      <c r="E122" s="90"/>
      <c r="F122" s="90"/>
      <c r="G122" s="90"/>
      <c r="H122" s="90"/>
      <c r="I122" s="90"/>
      <c r="J122" s="90"/>
    </row>
    <row r="123" spans="1:10">
      <c r="A123" s="90"/>
      <c r="B123" s="90"/>
      <c r="C123" s="90"/>
      <c r="D123" s="90"/>
      <c r="E123" s="90"/>
      <c r="F123" s="90"/>
      <c r="G123" s="90"/>
      <c r="H123" s="90"/>
      <c r="I123" s="90"/>
      <c r="J123" s="90"/>
    </row>
    <row r="124" spans="1:10">
      <c r="A124" s="90"/>
      <c r="B124" s="90"/>
      <c r="C124" s="90"/>
      <c r="D124" s="90"/>
      <c r="E124" s="90"/>
      <c r="F124" s="90"/>
      <c r="G124" s="90"/>
      <c r="H124" s="90"/>
      <c r="I124" s="90"/>
      <c r="J124" s="90"/>
    </row>
    <row r="125" spans="1:10">
      <c r="A125" s="90"/>
      <c r="B125" s="90"/>
      <c r="C125" s="90"/>
      <c r="D125" s="90"/>
      <c r="E125" s="90"/>
      <c r="F125" s="90"/>
      <c r="G125" s="90"/>
      <c r="H125" s="90"/>
      <c r="I125" s="90"/>
      <c r="J125" s="90"/>
    </row>
    <row r="126" spans="1:10">
      <c r="A126" s="90"/>
      <c r="B126" s="90"/>
      <c r="C126" s="90"/>
      <c r="D126" s="90"/>
      <c r="E126" s="90"/>
      <c r="F126" s="90"/>
      <c r="G126" s="90"/>
      <c r="H126" s="90"/>
      <c r="I126" s="90"/>
      <c r="J126" s="90"/>
    </row>
    <row r="127" spans="1:10">
      <c r="A127" s="90"/>
      <c r="B127" s="90"/>
      <c r="C127" s="90"/>
      <c r="D127" s="90"/>
      <c r="E127" s="90"/>
      <c r="F127" s="90"/>
      <c r="G127" s="90"/>
      <c r="H127" s="90"/>
      <c r="I127" s="90"/>
      <c r="J127" s="90"/>
    </row>
    <row r="128" spans="1:10">
      <c r="A128" s="90"/>
      <c r="B128" s="90"/>
      <c r="C128" s="90"/>
      <c r="D128" s="90"/>
      <c r="E128" s="90"/>
      <c r="F128" s="90"/>
      <c r="G128" s="90"/>
      <c r="H128" s="90"/>
      <c r="I128" s="90"/>
      <c r="J128" s="90"/>
    </row>
    <row r="129" spans="1:10">
      <c r="A129" s="90"/>
      <c r="B129" s="90"/>
      <c r="C129" s="90"/>
      <c r="D129" s="90"/>
      <c r="E129" s="90"/>
      <c r="F129" s="90"/>
      <c r="G129" s="90"/>
      <c r="H129" s="90"/>
      <c r="I129" s="90"/>
      <c r="J129" s="90"/>
    </row>
    <row r="130" spans="1:10">
      <c r="A130" s="90"/>
      <c r="B130" s="90"/>
      <c r="C130" s="90"/>
      <c r="D130" s="90"/>
      <c r="E130" s="90"/>
      <c r="F130" s="90"/>
      <c r="G130" s="90"/>
      <c r="H130" s="90"/>
      <c r="I130" s="90"/>
      <c r="J130" s="90"/>
    </row>
    <row r="131" spans="1:10">
      <c r="A131" s="90"/>
      <c r="B131" s="90"/>
      <c r="C131" s="90"/>
      <c r="D131" s="90"/>
      <c r="E131" s="90"/>
      <c r="F131" s="90"/>
      <c r="G131" s="90"/>
      <c r="H131" s="90"/>
      <c r="I131" s="90"/>
      <c r="J131" s="90"/>
    </row>
    <row r="132" spans="1:10">
      <c r="A132" s="90"/>
      <c r="B132" s="90"/>
      <c r="C132" s="90"/>
      <c r="D132" s="90"/>
      <c r="E132" s="90"/>
      <c r="F132" s="90"/>
      <c r="G132" s="90"/>
      <c r="H132" s="90"/>
      <c r="I132" s="90"/>
      <c r="J132" s="90"/>
    </row>
    <row r="133" spans="1:10">
      <c r="A133" s="90"/>
      <c r="B133" s="90"/>
      <c r="C133" s="90"/>
      <c r="D133" s="90"/>
      <c r="E133" s="90"/>
      <c r="F133" s="90"/>
      <c r="G133" s="90"/>
      <c r="H133" s="90"/>
      <c r="I133" s="90"/>
      <c r="J133" s="90"/>
    </row>
    <row r="134" spans="1:10">
      <c r="A134" s="90"/>
      <c r="B134" s="90"/>
      <c r="C134" s="90"/>
      <c r="D134" s="90"/>
      <c r="E134" s="90"/>
      <c r="F134" s="90"/>
      <c r="G134" s="90"/>
      <c r="H134" s="90"/>
      <c r="I134" s="90"/>
      <c r="J134" s="90"/>
    </row>
    <row r="135" spans="1:10">
      <c r="A135" s="90"/>
      <c r="B135" s="90"/>
      <c r="C135" s="90"/>
      <c r="D135" s="90"/>
      <c r="E135" s="90"/>
      <c r="F135" s="90"/>
      <c r="G135" s="90"/>
      <c r="H135" s="90"/>
      <c r="I135" s="90"/>
      <c r="J135" s="90"/>
    </row>
    <row r="136" spans="1:10">
      <c r="A136" s="90"/>
      <c r="B136" s="90"/>
      <c r="C136" s="90"/>
      <c r="D136" s="90"/>
      <c r="E136" s="90"/>
      <c r="F136" s="90"/>
      <c r="G136" s="90"/>
      <c r="H136" s="90"/>
      <c r="I136" s="90"/>
      <c r="J136" s="90"/>
    </row>
    <row r="137" spans="1:10">
      <c r="A137" s="90"/>
      <c r="B137" s="90"/>
      <c r="C137" s="90"/>
      <c r="D137" s="90"/>
      <c r="E137" s="90"/>
      <c r="F137" s="90"/>
      <c r="G137" s="90"/>
      <c r="H137" s="90"/>
      <c r="I137" s="90"/>
      <c r="J137" s="90"/>
    </row>
    <row r="138" spans="1:10">
      <c r="A138" s="90"/>
      <c r="B138" s="90"/>
      <c r="C138" s="90"/>
      <c r="D138" s="90"/>
      <c r="E138" s="90"/>
      <c r="F138" s="90"/>
      <c r="G138" s="90"/>
      <c r="H138" s="90"/>
      <c r="I138" s="90"/>
      <c r="J138" s="90"/>
    </row>
    <row r="139" spans="1:10">
      <c r="A139" s="90"/>
      <c r="B139" s="90"/>
      <c r="C139" s="90"/>
      <c r="D139" s="90"/>
      <c r="E139" s="90"/>
      <c r="F139" s="90"/>
      <c r="G139" s="90"/>
      <c r="H139" s="90"/>
      <c r="I139" s="90"/>
      <c r="J139" s="90"/>
    </row>
    <row r="140" spans="1:10">
      <c r="A140" s="90"/>
      <c r="B140" s="90"/>
      <c r="C140" s="90"/>
      <c r="D140" s="90"/>
      <c r="E140" s="90"/>
      <c r="F140" s="90"/>
      <c r="G140" s="90"/>
      <c r="H140" s="90"/>
      <c r="I140" s="90"/>
      <c r="J140" s="90"/>
    </row>
    <row r="141" spans="1:10">
      <c r="A141" s="90"/>
      <c r="B141" s="90"/>
      <c r="C141" s="90"/>
      <c r="D141" s="90"/>
      <c r="E141" s="90"/>
      <c r="F141" s="90"/>
      <c r="G141" s="90"/>
      <c r="H141" s="90"/>
      <c r="I141" s="90"/>
      <c r="J141" s="90"/>
    </row>
    <row r="142" spans="1:10">
      <c r="A142" s="90"/>
      <c r="B142" s="90"/>
      <c r="C142" s="90"/>
      <c r="D142" s="90"/>
      <c r="E142" s="90"/>
      <c r="F142" s="90"/>
      <c r="G142" s="90"/>
      <c r="H142" s="90"/>
      <c r="I142" s="90"/>
      <c r="J142" s="90"/>
    </row>
    <row r="143" spans="1:10">
      <c r="A143" s="90"/>
      <c r="B143" s="90"/>
      <c r="C143" s="90"/>
      <c r="D143" s="90"/>
      <c r="E143" s="90"/>
      <c r="F143" s="90"/>
      <c r="G143" s="90"/>
      <c r="H143" s="90"/>
      <c r="I143" s="90"/>
      <c r="J143" s="90"/>
    </row>
    <row r="144" spans="1:10">
      <c r="A144" s="90"/>
      <c r="B144" s="90"/>
      <c r="C144" s="90"/>
      <c r="D144" s="90"/>
      <c r="E144" s="90"/>
      <c r="F144" s="90"/>
      <c r="G144" s="90"/>
      <c r="H144" s="90"/>
      <c r="I144" s="90"/>
      <c r="J144" s="90"/>
    </row>
    <row r="145" spans="1:10">
      <c r="A145" s="90"/>
      <c r="B145" s="90"/>
      <c r="C145" s="90"/>
      <c r="D145" s="90"/>
      <c r="E145" s="90"/>
      <c r="F145" s="90"/>
      <c r="G145" s="90"/>
      <c r="H145" s="90"/>
      <c r="I145" s="90"/>
      <c r="J145" s="90"/>
    </row>
    <row r="146" spans="1:10">
      <c r="A146" s="90"/>
      <c r="B146" s="90"/>
      <c r="C146" s="90"/>
      <c r="D146" s="90"/>
      <c r="E146" s="90"/>
      <c r="F146" s="90"/>
      <c r="G146" s="90"/>
      <c r="H146" s="90"/>
      <c r="I146" s="90"/>
      <c r="J146" s="90"/>
    </row>
    <row r="147" spans="1:10">
      <c r="A147" s="90"/>
      <c r="B147" s="90"/>
      <c r="C147" s="90"/>
      <c r="D147" s="90"/>
      <c r="E147" s="90"/>
      <c r="F147" s="90"/>
      <c r="G147" s="90"/>
      <c r="H147" s="90"/>
      <c r="I147" s="90"/>
      <c r="J147" s="90"/>
    </row>
    <row r="148" spans="1:10">
      <c r="A148" s="90"/>
      <c r="B148" s="90"/>
      <c r="C148" s="90"/>
      <c r="D148" s="90"/>
      <c r="E148" s="90"/>
      <c r="F148" s="90"/>
      <c r="G148" s="90"/>
      <c r="H148" s="90"/>
      <c r="I148" s="90"/>
      <c r="J148" s="90"/>
    </row>
    <row r="149" spans="1:10">
      <c r="A149" s="90"/>
      <c r="B149" s="90"/>
      <c r="C149" s="90"/>
      <c r="D149" s="90"/>
      <c r="E149" s="90"/>
      <c r="F149" s="90"/>
      <c r="G149" s="90"/>
      <c r="H149" s="90"/>
      <c r="I149" s="90"/>
      <c r="J149" s="90"/>
    </row>
    <row r="150" spans="1:10">
      <c r="A150" s="90"/>
      <c r="B150" s="90"/>
      <c r="C150" s="90"/>
      <c r="D150" s="90"/>
      <c r="E150" s="90"/>
      <c r="F150" s="90"/>
      <c r="G150" s="90"/>
      <c r="H150" s="90"/>
      <c r="I150" s="90"/>
      <c r="J150" s="90"/>
    </row>
    <row r="151" spans="1:10">
      <c r="A151" s="90"/>
      <c r="B151" s="90"/>
      <c r="C151" s="90"/>
      <c r="D151" s="90"/>
      <c r="E151" s="90"/>
      <c r="F151" s="90"/>
      <c r="G151" s="90"/>
      <c r="H151" s="90"/>
      <c r="I151" s="90"/>
      <c r="J151" s="90"/>
    </row>
    <row r="152" spans="1:10">
      <c r="A152" s="90"/>
      <c r="B152" s="90"/>
      <c r="C152" s="90"/>
      <c r="D152" s="90"/>
      <c r="E152" s="90"/>
      <c r="F152" s="90"/>
      <c r="G152" s="90"/>
      <c r="H152" s="90"/>
      <c r="I152" s="90"/>
      <c r="J152" s="90"/>
    </row>
    <row r="153" spans="1:10">
      <c r="A153" s="90"/>
      <c r="B153" s="90"/>
      <c r="C153" s="90"/>
      <c r="D153" s="90"/>
      <c r="E153" s="90"/>
      <c r="F153" s="90"/>
      <c r="G153" s="90"/>
      <c r="H153" s="90"/>
      <c r="I153" s="90"/>
      <c r="J153" s="90"/>
    </row>
    <row r="154" spans="1:10">
      <c r="A154" s="90"/>
      <c r="B154" s="90"/>
      <c r="C154" s="90"/>
      <c r="D154" s="90"/>
      <c r="E154" s="90"/>
      <c r="F154" s="90"/>
      <c r="G154" s="90"/>
      <c r="H154" s="90"/>
      <c r="I154" s="90"/>
      <c r="J154" s="90"/>
    </row>
    <row r="155" spans="1:10">
      <c r="A155" s="90"/>
      <c r="B155" s="90"/>
      <c r="C155" s="90"/>
      <c r="D155" s="90"/>
      <c r="E155" s="90"/>
      <c r="F155" s="90"/>
      <c r="G155" s="90"/>
      <c r="H155" s="90"/>
      <c r="I155" s="90"/>
      <c r="J155" s="90"/>
    </row>
    <row r="156" spans="1:10">
      <c r="A156" s="90"/>
      <c r="B156" s="90"/>
      <c r="C156" s="90"/>
      <c r="D156" s="90"/>
      <c r="E156" s="90"/>
      <c r="F156" s="90"/>
      <c r="G156" s="90"/>
      <c r="H156" s="90"/>
      <c r="I156" s="90"/>
      <c r="J156" s="90"/>
    </row>
    <row r="157" spans="1:10">
      <c r="A157" s="90"/>
      <c r="B157" s="90"/>
      <c r="C157" s="90"/>
      <c r="D157" s="90"/>
      <c r="E157" s="90"/>
      <c r="F157" s="90"/>
      <c r="G157" s="90"/>
      <c r="H157" s="90"/>
      <c r="I157" s="90"/>
      <c r="J157" s="90"/>
    </row>
    <row r="158" spans="1:10">
      <c r="A158" s="90"/>
      <c r="B158" s="90"/>
      <c r="C158" s="90"/>
      <c r="D158" s="90"/>
      <c r="E158" s="90"/>
      <c r="F158" s="90"/>
      <c r="G158" s="90"/>
      <c r="H158" s="90"/>
      <c r="I158" s="90"/>
      <c r="J158" s="90"/>
    </row>
    <row r="159" spans="1:10">
      <c r="A159" s="90"/>
      <c r="B159" s="90"/>
      <c r="C159" s="90"/>
      <c r="D159" s="90"/>
      <c r="E159" s="90"/>
      <c r="F159" s="90"/>
      <c r="G159" s="90"/>
      <c r="H159" s="90"/>
      <c r="I159" s="90"/>
      <c r="J159" s="90"/>
    </row>
    <row r="160" spans="1:10">
      <c r="A160" s="90"/>
      <c r="B160" s="90"/>
      <c r="C160" s="90"/>
      <c r="D160" s="90"/>
      <c r="E160" s="90"/>
      <c r="F160" s="90"/>
      <c r="G160" s="90"/>
      <c r="H160" s="90"/>
      <c r="I160" s="90"/>
      <c r="J160" s="90"/>
    </row>
    <row r="161" spans="1:10">
      <c r="A161" s="90"/>
      <c r="B161" s="90"/>
      <c r="C161" s="90"/>
      <c r="D161" s="90"/>
      <c r="E161" s="90"/>
      <c r="F161" s="90"/>
      <c r="G161" s="90"/>
      <c r="H161" s="90"/>
      <c r="I161" s="90"/>
      <c r="J161" s="90"/>
    </row>
    <row r="162" spans="1:10">
      <c r="A162" s="90"/>
      <c r="B162" s="90"/>
      <c r="C162" s="90"/>
      <c r="D162" s="90"/>
      <c r="E162" s="90"/>
      <c r="F162" s="90"/>
      <c r="G162" s="90"/>
      <c r="H162" s="90"/>
      <c r="I162" s="90"/>
      <c r="J162" s="90"/>
    </row>
    <row r="163" spans="1:10">
      <c r="A163" s="90"/>
      <c r="B163" s="90"/>
      <c r="C163" s="90"/>
      <c r="D163" s="90"/>
      <c r="E163" s="90"/>
      <c r="F163" s="90"/>
      <c r="G163" s="90"/>
      <c r="H163" s="90"/>
      <c r="I163" s="90"/>
      <c r="J163" s="90"/>
    </row>
    <row r="164" spans="1:10">
      <c r="A164" s="90"/>
      <c r="B164" s="90"/>
      <c r="C164" s="90"/>
      <c r="D164" s="90"/>
      <c r="E164" s="90"/>
      <c r="F164" s="90"/>
      <c r="G164" s="90"/>
      <c r="H164" s="90"/>
      <c r="I164" s="90"/>
      <c r="J164" s="90"/>
    </row>
    <row r="165" spans="1:10">
      <c r="A165" s="90"/>
      <c r="B165" s="90"/>
      <c r="C165" s="90"/>
      <c r="D165" s="90"/>
      <c r="E165" s="90"/>
      <c r="F165" s="90"/>
      <c r="G165" s="90"/>
      <c r="H165" s="90"/>
      <c r="I165" s="90"/>
      <c r="J165" s="90"/>
    </row>
    <row r="166" spans="1:10">
      <c r="A166" s="90"/>
      <c r="B166" s="90"/>
      <c r="C166" s="90"/>
      <c r="D166" s="90"/>
      <c r="E166" s="90"/>
      <c r="F166" s="90"/>
      <c r="G166" s="90"/>
      <c r="H166" s="90"/>
      <c r="I166" s="90"/>
      <c r="J166" s="90"/>
    </row>
    <row r="167" spans="1:10">
      <c r="A167" s="90"/>
      <c r="B167" s="90"/>
      <c r="C167" s="90"/>
      <c r="D167" s="90"/>
      <c r="E167" s="90"/>
      <c r="F167" s="90"/>
      <c r="G167" s="90"/>
      <c r="H167" s="90"/>
      <c r="I167" s="90"/>
      <c r="J167" s="90"/>
    </row>
    <row r="168" spans="1:10">
      <c r="A168" s="90"/>
      <c r="B168" s="90"/>
      <c r="C168" s="90"/>
      <c r="D168" s="90"/>
      <c r="E168" s="90"/>
      <c r="F168" s="90"/>
      <c r="G168" s="90"/>
      <c r="H168" s="90"/>
      <c r="I168" s="90"/>
      <c r="J168" s="90"/>
    </row>
    <row r="169" spans="1:10">
      <c r="A169" s="90"/>
      <c r="B169" s="90"/>
      <c r="C169" s="90"/>
      <c r="D169" s="90"/>
      <c r="E169" s="90"/>
      <c r="F169" s="90"/>
      <c r="G169" s="90"/>
      <c r="H169" s="90"/>
      <c r="I169" s="90"/>
      <c r="J169" s="90"/>
    </row>
    <row r="170" spans="1:10">
      <c r="A170" s="90"/>
      <c r="B170" s="90"/>
      <c r="C170" s="90"/>
      <c r="D170" s="90"/>
      <c r="E170" s="90"/>
      <c r="F170" s="90"/>
      <c r="G170" s="90"/>
      <c r="H170" s="90"/>
      <c r="I170" s="90"/>
      <c r="J170" s="90"/>
    </row>
    <row r="171" spans="1:10">
      <c r="A171" s="90"/>
      <c r="B171" s="90"/>
      <c r="C171" s="90"/>
      <c r="D171" s="90"/>
      <c r="E171" s="90"/>
      <c r="F171" s="90"/>
      <c r="G171" s="90"/>
      <c r="H171" s="90"/>
      <c r="I171" s="90"/>
      <c r="J171" s="90"/>
    </row>
    <row r="172" spans="1:10">
      <c r="A172" s="90"/>
      <c r="B172" s="90"/>
      <c r="C172" s="90"/>
      <c r="D172" s="90"/>
      <c r="E172" s="90"/>
      <c r="F172" s="90"/>
      <c r="G172" s="90"/>
      <c r="H172" s="90"/>
      <c r="I172" s="90"/>
      <c r="J172" s="90"/>
    </row>
    <row r="173" spans="1:10">
      <c r="A173" s="90"/>
      <c r="B173" s="90"/>
      <c r="C173" s="90"/>
      <c r="D173" s="90"/>
      <c r="E173" s="90"/>
      <c r="F173" s="90"/>
      <c r="G173" s="90"/>
      <c r="H173" s="90"/>
      <c r="I173" s="90"/>
      <c r="J173" s="90"/>
    </row>
    <row r="174" spans="1:10">
      <c r="A174" s="90"/>
      <c r="B174" s="90"/>
      <c r="C174" s="90"/>
      <c r="D174" s="90"/>
      <c r="E174" s="90"/>
      <c r="F174" s="90"/>
      <c r="G174" s="90"/>
      <c r="H174" s="90"/>
      <c r="I174" s="90"/>
      <c r="J174" s="90"/>
    </row>
    <row r="175" spans="1:10">
      <c r="A175" s="90"/>
      <c r="B175" s="90"/>
      <c r="C175" s="90"/>
      <c r="D175" s="90"/>
      <c r="E175" s="90"/>
      <c r="F175" s="90"/>
      <c r="G175" s="90"/>
      <c r="H175" s="90"/>
      <c r="I175" s="90"/>
      <c r="J175" s="90"/>
    </row>
    <row r="176" spans="1:10">
      <c r="A176" s="90"/>
      <c r="B176" s="90"/>
      <c r="C176" s="90"/>
      <c r="D176" s="90"/>
      <c r="E176" s="90"/>
      <c r="F176" s="90"/>
      <c r="G176" s="90"/>
      <c r="H176" s="90"/>
      <c r="I176" s="90"/>
      <c r="J176" s="90"/>
    </row>
    <row r="177" spans="1:10">
      <c r="A177" s="90"/>
      <c r="B177" s="90"/>
      <c r="C177" s="90"/>
      <c r="D177" s="90"/>
      <c r="E177" s="90"/>
      <c r="F177" s="90"/>
      <c r="G177" s="90"/>
      <c r="H177" s="90"/>
      <c r="I177" s="90"/>
      <c r="J177" s="90"/>
    </row>
    <row r="178" spans="1:10">
      <c r="A178" s="90"/>
      <c r="B178" s="90"/>
      <c r="C178" s="90"/>
      <c r="D178" s="90"/>
      <c r="E178" s="90"/>
      <c r="F178" s="90"/>
      <c r="G178" s="90"/>
      <c r="H178" s="90"/>
      <c r="I178" s="90"/>
      <c r="J178" s="90"/>
    </row>
    <row r="179" spans="1:10">
      <c r="A179" s="90"/>
      <c r="B179" s="90"/>
      <c r="C179" s="90"/>
      <c r="D179" s="90"/>
      <c r="E179" s="90"/>
      <c r="F179" s="90"/>
      <c r="G179" s="90"/>
      <c r="H179" s="90"/>
      <c r="I179" s="90"/>
      <c r="J179" s="90"/>
    </row>
    <row r="180" spans="1:10">
      <c r="A180" s="90"/>
      <c r="B180" s="90"/>
      <c r="C180" s="90"/>
      <c r="D180" s="90"/>
      <c r="E180" s="90"/>
      <c r="F180" s="90"/>
      <c r="G180" s="90"/>
      <c r="H180" s="90"/>
      <c r="I180" s="90"/>
      <c r="J180" s="90"/>
    </row>
    <row r="181" spans="1:10">
      <c r="A181" s="90"/>
      <c r="B181" s="90"/>
      <c r="C181" s="90"/>
      <c r="D181" s="90"/>
      <c r="E181" s="90"/>
      <c r="F181" s="90"/>
      <c r="G181" s="90"/>
      <c r="H181" s="90"/>
      <c r="I181" s="90"/>
      <c r="J181" s="90"/>
    </row>
    <row r="182" spans="1:10">
      <c r="A182" s="90"/>
      <c r="B182" s="90"/>
      <c r="C182" s="90"/>
      <c r="D182" s="90"/>
      <c r="E182" s="90"/>
      <c r="F182" s="90"/>
      <c r="G182" s="90"/>
      <c r="H182" s="90"/>
      <c r="I182" s="90"/>
      <c r="J182" s="90"/>
    </row>
    <row r="183" spans="1:10">
      <c r="A183" s="90"/>
      <c r="B183" s="90"/>
      <c r="C183" s="90"/>
      <c r="D183" s="90"/>
      <c r="E183" s="90"/>
      <c r="F183" s="90"/>
      <c r="G183" s="90"/>
      <c r="H183" s="90"/>
      <c r="I183" s="90"/>
      <c r="J183" s="90"/>
    </row>
    <row r="184" spans="1:10">
      <c r="A184" s="90"/>
      <c r="B184" s="90"/>
      <c r="C184" s="90"/>
      <c r="D184" s="90"/>
      <c r="E184" s="90"/>
      <c r="F184" s="90"/>
      <c r="G184" s="90"/>
      <c r="H184" s="90"/>
      <c r="I184" s="90"/>
      <c r="J184" s="90"/>
    </row>
    <row r="185" spans="1:10">
      <c r="A185" s="90"/>
      <c r="B185" s="90"/>
      <c r="C185" s="90"/>
      <c r="D185" s="90"/>
      <c r="E185" s="90"/>
      <c r="F185" s="90"/>
      <c r="G185" s="90"/>
      <c r="H185" s="90"/>
      <c r="I185" s="90"/>
      <c r="J185" s="90"/>
    </row>
    <row r="186" spans="1:10">
      <c r="A186" s="90"/>
      <c r="B186" s="90"/>
      <c r="C186" s="90"/>
      <c r="D186" s="90"/>
      <c r="E186" s="90"/>
      <c r="F186" s="90"/>
      <c r="G186" s="90"/>
      <c r="H186" s="90"/>
      <c r="I186" s="90"/>
      <c r="J186" s="90"/>
    </row>
    <row r="187" spans="1:10">
      <c r="A187" s="90"/>
      <c r="B187" s="90"/>
      <c r="C187" s="90"/>
      <c r="D187" s="90"/>
      <c r="E187" s="90"/>
      <c r="F187" s="90"/>
      <c r="G187" s="90"/>
      <c r="H187" s="90"/>
      <c r="I187" s="90"/>
      <c r="J187" s="90"/>
    </row>
    <row r="188" spans="1:10">
      <c r="A188" s="90"/>
      <c r="B188" s="90"/>
      <c r="C188" s="90"/>
      <c r="D188" s="90"/>
      <c r="E188" s="90"/>
      <c r="F188" s="90"/>
      <c r="G188" s="90"/>
      <c r="H188" s="90"/>
      <c r="I188" s="90"/>
      <c r="J188" s="90"/>
    </row>
    <row r="189" spans="1:10">
      <c r="A189" s="90"/>
      <c r="B189" s="90"/>
      <c r="C189" s="90"/>
      <c r="D189" s="90"/>
      <c r="E189" s="90"/>
      <c r="F189" s="90"/>
      <c r="G189" s="90"/>
      <c r="H189" s="90"/>
      <c r="I189" s="90"/>
      <c r="J189" s="90"/>
    </row>
    <row r="190" spans="1:10">
      <c r="A190" s="90"/>
      <c r="B190" s="90"/>
      <c r="C190" s="90"/>
      <c r="D190" s="90"/>
      <c r="E190" s="90"/>
      <c r="F190" s="90"/>
      <c r="G190" s="90"/>
      <c r="H190" s="90"/>
      <c r="I190" s="90"/>
      <c r="J190" s="90"/>
    </row>
    <row r="191" spans="1:10">
      <c r="A191" s="90"/>
      <c r="B191" s="90"/>
      <c r="C191" s="90"/>
      <c r="D191" s="90"/>
      <c r="E191" s="90"/>
      <c r="F191" s="90"/>
      <c r="G191" s="90"/>
      <c r="H191" s="90"/>
      <c r="I191" s="90"/>
      <c r="J191" s="90"/>
    </row>
    <row r="192" spans="1:10">
      <c r="A192" s="90"/>
      <c r="B192" s="90"/>
      <c r="C192" s="90"/>
      <c r="D192" s="90"/>
      <c r="E192" s="90"/>
      <c r="F192" s="90"/>
      <c r="G192" s="90"/>
      <c r="H192" s="90"/>
      <c r="I192" s="90"/>
      <c r="J192" s="90"/>
    </row>
    <row r="193" spans="1:10">
      <c r="A193" s="90"/>
      <c r="B193" s="90"/>
      <c r="C193" s="90"/>
      <c r="D193" s="90"/>
      <c r="E193" s="90"/>
      <c r="F193" s="90"/>
      <c r="G193" s="90"/>
      <c r="H193" s="90"/>
      <c r="I193" s="90"/>
      <c r="J193" s="90"/>
    </row>
    <row r="194" spans="1:10">
      <c r="A194" s="90"/>
      <c r="B194" s="90"/>
      <c r="C194" s="90"/>
      <c r="D194" s="90"/>
      <c r="E194" s="90"/>
      <c r="F194" s="90"/>
      <c r="G194" s="90"/>
      <c r="H194" s="90"/>
      <c r="I194" s="90"/>
      <c r="J194" s="90"/>
    </row>
    <row r="195" spans="1:10">
      <c r="A195" s="90"/>
      <c r="B195" s="90"/>
      <c r="C195" s="90"/>
      <c r="D195" s="90"/>
      <c r="E195" s="90"/>
      <c r="F195" s="90"/>
      <c r="G195" s="90"/>
      <c r="H195" s="90"/>
      <c r="I195" s="90"/>
      <c r="J195" s="90"/>
    </row>
    <row r="196" spans="1:10">
      <c r="A196" s="90"/>
      <c r="B196" s="90"/>
      <c r="C196" s="90"/>
      <c r="D196" s="90"/>
      <c r="E196" s="90"/>
      <c r="F196" s="90"/>
      <c r="G196" s="90"/>
      <c r="H196" s="90"/>
      <c r="I196" s="90"/>
      <c r="J196" s="90"/>
    </row>
    <row r="197" spans="1:10">
      <c r="A197" s="90"/>
      <c r="B197" s="90"/>
      <c r="C197" s="90"/>
      <c r="D197" s="90"/>
      <c r="E197" s="90"/>
      <c r="F197" s="90"/>
      <c r="G197" s="90"/>
      <c r="H197" s="90"/>
      <c r="I197" s="90"/>
      <c r="J197" s="90"/>
    </row>
    <row r="198" spans="1:10">
      <c r="A198" s="90"/>
      <c r="B198" s="90"/>
      <c r="C198" s="90"/>
      <c r="D198" s="90"/>
      <c r="E198" s="90"/>
      <c r="F198" s="90"/>
      <c r="G198" s="90"/>
      <c r="H198" s="90"/>
      <c r="I198" s="90"/>
      <c r="J198" s="90"/>
    </row>
    <row r="199" spans="1:10">
      <c r="A199" s="90"/>
      <c r="B199" s="90"/>
      <c r="C199" s="90"/>
      <c r="D199" s="90"/>
      <c r="E199" s="90"/>
      <c r="F199" s="90"/>
      <c r="G199" s="90"/>
      <c r="H199" s="90"/>
      <c r="I199" s="90"/>
      <c r="J199" s="90"/>
    </row>
    <row r="200" spans="1:10">
      <c r="A200" s="90"/>
      <c r="B200" s="90"/>
      <c r="C200" s="90"/>
      <c r="D200" s="90"/>
      <c r="E200" s="90"/>
      <c r="F200" s="90"/>
      <c r="G200" s="90"/>
      <c r="H200" s="90"/>
      <c r="I200" s="90"/>
      <c r="J200" s="90"/>
    </row>
    <row r="201" spans="1:10">
      <c r="A201" s="90"/>
      <c r="B201" s="90"/>
      <c r="C201" s="90"/>
      <c r="D201" s="90"/>
      <c r="E201" s="90"/>
      <c r="F201" s="90"/>
      <c r="G201" s="90"/>
      <c r="H201" s="90"/>
      <c r="I201" s="90"/>
      <c r="J201" s="90"/>
    </row>
    <row r="202" spans="1:10">
      <c r="A202" s="90"/>
      <c r="B202" s="90"/>
      <c r="C202" s="90"/>
      <c r="D202" s="90"/>
      <c r="E202" s="90"/>
      <c r="F202" s="90"/>
      <c r="G202" s="90"/>
      <c r="H202" s="90"/>
      <c r="I202" s="90"/>
      <c r="J202" s="90"/>
    </row>
    <row r="203" spans="1:10">
      <c r="A203" s="90"/>
      <c r="B203" s="90"/>
      <c r="C203" s="90"/>
      <c r="D203" s="90"/>
      <c r="E203" s="90"/>
      <c r="F203" s="90"/>
      <c r="G203" s="90"/>
      <c r="H203" s="90"/>
      <c r="I203" s="90"/>
      <c r="J203" s="90"/>
    </row>
    <row r="204" spans="1:10">
      <c r="A204" s="90"/>
      <c r="B204" s="90"/>
      <c r="C204" s="90"/>
      <c r="D204" s="90"/>
      <c r="E204" s="90"/>
      <c r="F204" s="90"/>
      <c r="G204" s="90"/>
      <c r="H204" s="90"/>
      <c r="I204" s="90"/>
      <c r="J204" s="90"/>
    </row>
    <row r="205" spans="1:10">
      <c r="A205" s="90"/>
      <c r="B205" s="90"/>
      <c r="C205" s="90"/>
      <c r="D205" s="90"/>
      <c r="E205" s="90"/>
      <c r="F205" s="90"/>
      <c r="G205" s="90"/>
      <c r="H205" s="90"/>
      <c r="I205" s="90"/>
      <c r="J205" s="90"/>
    </row>
    <row r="206" spans="1:10">
      <c r="A206" s="90"/>
      <c r="B206" s="90"/>
      <c r="C206" s="90"/>
      <c r="D206" s="90"/>
      <c r="E206" s="90"/>
      <c r="F206" s="90"/>
      <c r="G206" s="90"/>
      <c r="H206" s="90"/>
      <c r="I206" s="90"/>
      <c r="J206" s="90"/>
    </row>
    <row r="207" spans="1:10">
      <c r="A207" s="90"/>
      <c r="B207" s="90"/>
      <c r="C207" s="90"/>
      <c r="D207" s="90"/>
      <c r="E207" s="90"/>
      <c r="F207" s="90"/>
      <c r="G207" s="90"/>
      <c r="H207" s="90"/>
      <c r="I207" s="90"/>
      <c r="J207" s="90"/>
    </row>
    <row r="208" spans="1:10">
      <c r="A208" s="90"/>
      <c r="B208" s="90"/>
      <c r="C208" s="90"/>
      <c r="D208" s="90"/>
      <c r="E208" s="90"/>
      <c r="F208" s="90"/>
      <c r="G208" s="90"/>
      <c r="H208" s="90"/>
      <c r="I208" s="90"/>
      <c r="J208" s="90"/>
    </row>
    <row r="209" spans="1:10">
      <c r="A209" s="90"/>
      <c r="B209" s="90"/>
      <c r="C209" s="90"/>
      <c r="D209" s="90"/>
      <c r="E209" s="90"/>
      <c r="F209" s="90"/>
      <c r="G209" s="90"/>
      <c r="H209" s="90"/>
      <c r="I209" s="90"/>
      <c r="J209" s="90"/>
    </row>
    <row r="210" spans="1:10">
      <c r="A210" s="90"/>
      <c r="B210" s="90"/>
      <c r="C210" s="90"/>
      <c r="D210" s="90"/>
      <c r="E210" s="90"/>
      <c r="F210" s="90"/>
      <c r="G210" s="90"/>
      <c r="H210" s="90"/>
      <c r="I210" s="90"/>
      <c r="J210" s="90"/>
    </row>
    <row r="211" spans="1:10">
      <c r="A211" s="90"/>
      <c r="B211" s="90"/>
      <c r="C211" s="90"/>
      <c r="D211" s="90"/>
      <c r="E211" s="90"/>
      <c r="F211" s="90"/>
      <c r="G211" s="90"/>
      <c r="H211" s="90"/>
      <c r="I211" s="90"/>
      <c r="J211" s="90"/>
    </row>
    <row r="212" spans="1:10">
      <c r="A212" s="90"/>
      <c r="B212" s="90"/>
      <c r="C212" s="90"/>
      <c r="D212" s="90"/>
      <c r="E212" s="90"/>
      <c r="F212" s="90"/>
      <c r="G212" s="90"/>
      <c r="H212" s="90"/>
      <c r="I212" s="90"/>
      <c r="J212" s="90"/>
    </row>
    <row r="213" spans="1:10">
      <c r="A213" s="90"/>
      <c r="B213" s="90"/>
      <c r="C213" s="90"/>
      <c r="D213" s="90"/>
      <c r="E213" s="90"/>
      <c r="F213" s="90"/>
      <c r="G213" s="90"/>
      <c r="H213" s="90"/>
      <c r="I213" s="90"/>
      <c r="J213" s="90"/>
    </row>
    <row r="214" spans="1:10">
      <c r="A214" s="90"/>
      <c r="B214" s="90"/>
      <c r="C214" s="90"/>
      <c r="D214" s="90"/>
      <c r="E214" s="90"/>
      <c r="F214" s="90"/>
      <c r="G214" s="90"/>
      <c r="H214" s="90"/>
      <c r="I214" s="90"/>
      <c r="J214" s="90"/>
    </row>
    <row r="215" spans="1:10">
      <c r="A215" s="90"/>
      <c r="B215" s="90"/>
      <c r="C215" s="90"/>
      <c r="D215" s="90"/>
      <c r="E215" s="90"/>
      <c r="F215" s="90"/>
      <c r="G215" s="90"/>
      <c r="H215" s="90"/>
      <c r="I215" s="90"/>
      <c r="J215" s="90"/>
    </row>
    <row r="216" spans="1:10">
      <c r="A216" s="90"/>
      <c r="B216" s="90"/>
      <c r="C216" s="90"/>
      <c r="D216" s="90"/>
      <c r="E216" s="90"/>
      <c r="F216" s="90"/>
      <c r="G216" s="90"/>
      <c r="H216" s="90"/>
      <c r="I216" s="90"/>
      <c r="J216" s="90"/>
    </row>
    <row r="217" spans="1:10">
      <c r="A217" s="90"/>
      <c r="B217" s="90"/>
      <c r="C217" s="90"/>
      <c r="D217" s="90"/>
      <c r="E217" s="90"/>
      <c r="F217" s="90"/>
      <c r="G217" s="90"/>
      <c r="H217" s="90"/>
      <c r="I217" s="90"/>
      <c r="J217" s="90"/>
    </row>
    <row r="218" spans="1:10">
      <c r="A218" s="90"/>
      <c r="B218" s="90"/>
      <c r="C218" s="90"/>
      <c r="D218" s="90"/>
      <c r="E218" s="90"/>
      <c r="F218" s="90"/>
      <c r="G218" s="90"/>
      <c r="H218" s="90"/>
      <c r="I218" s="90"/>
      <c r="J218" s="90"/>
    </row>
    <row r="219" spans="1:10">
      <c r="A219" s="90"/>
      <c r="B219" s="90"/>
      <c r="C219" s="90"/>
      <c r="D219" s="90"/>
      <c r="E219" s="90"/>
      <c r="F219" s="90"/>
      <c r="G219" s="90"/>
      <c r="H219" s="90"/>
      <c r="I219" s="90"/>
      <c r="J219" s="90"/>
    </row>
    <row r="220" spans="1:10">
      <c r="A220" s="90"/>
      <c r="B220" s="90"/>
      <c r="C220" s="90"/>
      <c r="D220" s="90"/>
      <c r="E220" s="90"/>
      <c r="F220" s="90"/>
      <c r="G220" s="90"/>
      <c r="H220" s="90"/>
      <c r="I220" s="90"/>
      <c r="J220" s="90"/>
    </row>
    <row r="221" spans="1:10">
      <c r="A221" s="90"/>
      <c r="B221" s="90"/>
      <c r="C221" s="90"/>
      <c r="D221" s="90"/>
      <c r="E221" s="90"/>
      <c r="F221" s="90"/>
      <c r="G221" s="90"/>
      <c r="H221" s="90"/>
      <c r="I221" s="90"/>
      <c r="J221" s="90"/>
    </row>
    <row r="222" spans="1:10">
      <c r="A222" s="90"/>
      <c r="B222" s="90"/>
      <c r="C222" s="90"/>
      <c r="D222" s="90"/>
      <c r="E222" s="90"/>
      <c r="F222" s="90"/>
      <c r="G222" s="90"/>
      <c r="H222" s="90"/>
      <c r="I222" s="90"/>
      <c r="J222" s="90"/>
    </row>
    <row r="223" spans="1:10">
      <c r="A223" s="90"/>
      <c r="B223" s="90"/>
      <c r="C223" s="90"/>
      <c r="D223" s="90"/>
      <c r="E223" s="90"/>
      <c r="F223" s="90"/>
      <c r="G223" s="90"/>
      <c r="H223" s="90"/>
      <c r="I223" s="90"/>
      <c r="J223" s="90"/>
    </row>
    <row r="224" spans="1:10">
      <c r="A224" s="90"/>
      <c r="B224" s="90"/>
      <c r="C224" s="90"/>
      <c r="D224" s="90"/>
      <c r="E224" s="90"/>
      <c r="F224" s="90"/>
      <c r="G224" s="90"/>
      <c r="H224" s="90"/>
      <c r="I224" s="90"/>
      <c r="J224" s="90"/>
    </row>
    <row r="225" spans="1:10">
      <c r="A225" s="90"/>
      <c r="B225" s="90"/>
      <c r="C225" s="90"/>
      <c r="D225" s="90"/>
      <c r="E225" s="90"/>
      <c r="F225" s="90"/>
      <c r="G225" s="90"/>
      <c r="H225" s="90"/>
      <c r="I225" s="90"/>
      <c r="J225" s="90"/>
    </row>
    <row r="226" spans="1:10">
      <c r="A226" s="90"/>
      <c r="B226" s="90"/>
      <c r="C226" s="90"/>
      <c r="D226" s="90"/>
      <c r="E226" s="90"/>
      <c r="F226" s="90"/>
      <c r="G226" s="90"/>
      <c r="H226" s="90"/>
      <c r="I226" s="90"/>
      <c r="J226" s="90"/>
    </row>
    <row r="227" spans="1:10">
      <c r="A227" s="90"/>
      <c r="B227" s="90"/>
      <c r="C227" s="90"/>
      <c r="D227" s="90"/>
      <c r="E227" s="90"/>
      <c r="F227" s="90"/>
      <c r="G227" s="90"/>
      <c r="H227" s="90"/>
      <c r="I227" s="90"/>
      <c r="J227" s="90"/>
    </row>
    <row r="228" spans="1:10">
      <c r="A228" s="90"/>
      <c r="B228" s="90"/>
      <c r="C228" s="90"/>
      <c r="D228" s="90"/>
      <c r="E228" s="90"/>
      <c r="F228" s="90"/>
      <c r="G228" s="90"/>
      <c r="H228" s="90"/>
      <c r="I228" s="90"/>
      <c r="J228" s="90"/>
    </row>
    <row r="229" spans="1:10">
      <c r="A229" s="90"/>
      <c r="B229" s="90"/>
      <c r="C229" s="90"/>
      <c r="D229" s="90"/>
      <c r="E229" s="90"/>
      <c r="F229" s="90"/>
      <c r="G229" s="90"/>
      <c r="H229" s="90"/>
      <c r="I229" s="90"/>
      <c r="J229" s="90"/>
    </row>
    <row r="230" spans="1:10">
      <c r="A230" s="90"/>
      <c r="B230" s="90"/>
      <c r="C230" s="90"/>
      <c r="D230" s="90"/>
      <c r="E230" s="90"/>
      <c r="F230" s="90"/>
      <c r="G230" s="90"/>
      <c r="H230" s="90"/>
      <c r="I230" s="90"/>
      <c r="J230" s="90"/>
    </row>
    <row r="231" spans="1:10">
      <c r="A231" s="90"/>
      <c r="B231" s="90"/>
      <c r="C231" s="90"/>
      <c r="D231" s="90"/>
      <c r="E231" s="90"/>
      <c r="F231" s="90"/>
      <c r="G231" s="90"/>
      <c r="H231" s="90"/>
      <c r="I231" s="90"/>
      <c r="J231" s="90"/>
    </row>
    <row r="232" spans="1:10">
      <c r="A232" s="90"/>
      <c r="B232" s="90"/>
      <c r="C232" s="90"/>
      <c r="D232" s="90"/>
      <c r="E232" s="90"/>
      <c r="F232" s="90"/>
      <c r="G232" s="90"/>
      <c r="H232" s="90"/>
      <c r="I232" s="90"/>
      <c r="J232" s="90"/>
    </row>
    <row r="233" spans="1:10">
      <c r="A233" s="90"/>
      <c r="B233" s="90"/>
      <c r="C233" s="90"/>
      <c r="D233" s="90"/>
      <c r="E233" s="90"/>
      <c r="F233" s="90"/>
      <c r="G233" s="90"/>
      <c r="H233" s="90"/>
      <c r="I233" s="90"/>
      <c r="J233" s="90"/>
    </row>
    <row r="234" spans="1:10">
      <c r="A234" s="90"/>
      <c r="B234" s="90"/>
      <c r="C234" s="90"/>
      <c r="D234" s="90"/>
      <c r="E234" s="90"/>
      <c r="F234" s="90"/>
      <c r="G234" s="90"/>
      <c r="H234" s="90"/>
      <c r="I234" s="90"/>
      <c r="J234" s="90"/>
    </row>
    <row r="235" spans="1:10">
      <c r="A235" s="90"/>
      <c r="B235" s="90"/>
      <c r="C235" s="90"/>
      <c r="D235" s="90"/>
      <c r="E235" s="90"/>
      <c r="F235" s="90"/>
      <c r="G235" s="90"/>
      <c r="H235" s="90"/>
      <c r="I235" s="90"/>
      <c r="J235" s="90"/>
    </row>
    <row r="236" spans="1:10">
      <c r="A236" s="90"/>
      <c r="B236" s="90"/>
      <c r="C236" s="90"/>
      <c r="D236" s="90"/>
      <c r="E236" s="90"/>
      <c r="F236" s="90"/>
      <c r="G236" s="90"/>
      <c r="H236" s="90"/>
      <c r="I236" s="90"/>
      <c r="J236" s="90"/>
    </row>
    <row r="237" spans="1:10">
      <c r="A237" s="90"/>
      <c r="B237" s="90"/>
      <c r="C237" s="90"/>
      <c r="D237" s="90"/>
      <c r="E237" s="90"/>
      <c r="F237" s="90"/>
      <c r="G237" s="90"/>
      <c r="H237" s="90"/>
      <c r="I237" s="90"/>
      <c r="J237" s="90"/>
    </row>
    <row r="238" spans="1:10">
      <c r="A238" s="90"/>
      <c r="B238" s="90"/>
      <c r="C238" s="90"/>
      <c r="D238" s="90"/>
      <c r="E238" s="90"/>
      <c r="F238" s="90"/>
      <c r="G238" s="90"/>
      <c r="H238" s="90"/>
      <c r="I238" s="90"/>
      <c r="J238" s="90"/>
    </row>
    <row r="239" spans="1:10">
      <c r="A239" s="90"/>
      <c r="B239" s="90"/>
      <c r="C239" s="90"/>
      <c r="D239" s="90"/>
      <c r="E239" s="90"/>
      <c r="F239" s="90"/>
      <c r="G239" s="90"/>
      <c r="H239" s="90"/>
      <c r="I239" s="90"/>
      <c r="J239" s="90"/>
    </row>
    <row r="240" spans="1:10">
      <c r="A240" s="90"/>
      <c r="B240" s="90"/>
      <c r="C240" s="90"/>
      <c r="D240" s="90"/>
      <c r="E240" s="90"/>
      <c r="F240" s="90"/>
      <c r="G240" s="90"/>
      <c r="H240" s="90"/>
      <c r="I240" s="90"/>
      <c r="J240" s="90"/>
    </row>
    <row r="241" spans="1:10">
      <c r="A241" s="90"/>
      <c r="B241" s="90"/>
      <c r="C241" s="90"/>
      <c r="D241" s="90"/>
      <c r="E241" s="90"/>
      <c r="F241" s="90"/>
      <c r="G241" s="90"/>
      <c r="H241" s="90"/>
      <c r="I241" s="90"/>
      <c r="J241" s="90"/>
    </row>
    <row r="242" spans="1:10">
      <c r="A242" s="90"/>
      <c r="B242" s="90"/>
      <c r="C242" s="90"/>
      <c r="D242" s="90"/>
      <c r="E242" s="90"/>
      <c r="F242" s="90"/>
      <c r="G242" s="90"/>
      <c r="H242" s="90"/>
      <c r="I242" s="90"/>
      <c r="J242" s="90"/>
    </row>
    <row r="243" spans="1:10">
      <c r="A243" s="90"/>
      <c r="B243" s="90"/>
      <c r="C243" s="90"/>
      <c r="D243" s="90"/>
      <c r="E243" s="90"/>
      <c r="F243" s="90"/>
      <c r="G243" s="90"/>
      <c r="H243" s="90"/>
      <c r="I243" s="90"/>
      <c r="J243" s="90"/>
    </row>
    <row r="244" spans="1:10">
      <c r="A244" s="90"/>
      <c r="B244" s="90"/>
      <c r="C244" s="90"/>
      <c r="D244" s="90"/>
      <c r="E244" s="90"/>
      <c r="F244" s="90"/>
      <c r="G244" s="90"/>
      <c r="H244" s="90"/>
      <c r="I244" s="90"/>
      <c r="J244" s="90"/>
    </row>
    <row r="245" spans="1:10">
      <c r="A245" s="90"/>
      <c r="B245" s="90"/>
      <c r="C245" s="90"/>
      <c r="D245" s="90"/>
      <c r="E245" s="90"/>
      <c r="F245" s="90"/>
      <c r="G245" s="90"/>
      <c r="H245" s="90"/>
      <c r="I245" s="90"/>
      <c r="J245" s="90"/>
    </row>
    <row r="246" spans="1:10">
      <c r="A246" s="90"/>
      <c r="B246" s="90"/>
      <c r="C246" s="90"/>
      <c r="D246" s="90"/>
      <c r="E246" s="90"/>
      <c r="F246" s="90"/>
      <c r="G246" s="90"/>
      <c r="H246" s="90"/>
      <c r="I246" s="90"/>
      <c r="J246" s="90"/>
    </row>
    <row r="247" spans="1:10">
      <c r="A247" s="90"/>
      <c r="B247" s="90"/>
      <c r="C247" s="90"/>
      <c r="D247" s="90"/>
      <c r="E247" s="90"/>
      <c r="F247" s="90"/>
      <c r="G247" s="90"/>
      <c r="H247" s="90"/>
      <c r="I247" s="90"/>
      <c r="J247" s="90"/>
    </row>
    <row r="248" spans="1:10">
      <c r="A248" s="90"/>
      <c r="B248" s="90"/>
      <c r="C248" s="90"/>
      <c r="D248" s="90"/>
      <c r="E248" s="90"/>
      <c r="F248" s="90"/>
      <c r="G248" s="90"/>
      <c r="H248" s="90"/>
      <c r="I248" s="90"/>
      <c r="J248" s="90"/>
    </row>
    <row r="249" spans="1:10">
      <c r="A249" s="90"/>
      <c r="B249" s="90"/>
      <c r="C249" s="90"/>
      <c r="D249" s="90"/>
      <c r="E249" s="90"/>
      <c r="F249" s="90"/>
      <c r="G249" s="90"/>
      <c r="H249" s="90"/>
      <c r="I249" s="90"/>
      <c r="J249" s="90"/>
    </row>
    <row r="250" spans="1:10">
      <c r="A250" s="90"/>
      <c r="B250" s="90"/>
      <c r="C250" s="90"/>
      <c r="D250" s="90"/>
      <c r="E250" s="90"/>
      <c r="F250" s="90"/>
      <c r="G250" s="90"/>
      <c r="H250" s="90"/>
      <c r="I250" s="90"/>
      <c r="J250" s="90"/>
    </row>
    <row r="251" spans="1:10">
      <c r="A251" s="90"/>
      <c r="B251" s="90"/>
      <c r="C251" s="90"/>
      <c r="D251" s="90"/>
      <c r="E251" s="90"/>
      <c r="F251" s="90"/>
      <c r="G251" s="90"/>
      <c r="H251" s="90"/>
      <c r="I251" s="90"/>
      <c r="J251" s="90"/>
    </row>
    <row r="252" spans="1:10">
      <c r="A252" s="90"/>
      <c r="B252" s="90"/>
      <c r="C252" s="90"/>
      <c r="D252" s="90"/>
      <c r="E252" s="90"/>
      <c r="F252" s="90"/>
      <c r="G252" s="90"/>
      <c r="H252" s="90"/>
      <c r="I252" s="90"/>
      <c r="J252" s="90"/>
    </row>
    <row r="253" spans="1:10">
      <c r="A253" s="90"/>
      <c r="B253" s="90"/>
      <c r="C253" s="90"/>
      <c r="D253" s="90"/>
      <c r="E253" s="90"/>
      <c r="F253" s="90"/>
      <c r="G253" s="90"/>
      <c r="H253" s="90"/>
      <c r="I253" s="90"/>
      <c r="J253" s="90"/>
    </row>
    <row r="254" spans="1:10">
      <c r="A254" s="90"/>
      <c r="B254" s="90"/>
      <c r="C254" s="90"/>
      <c r="D254" s="90"/>
      <c r="E254" s="90"/>
      <c r="F254" s="90"/>
      <c r="G254" s="90"/>
      <c r="H254" s="90"/>
      <c r="I254" s="90"/>
      <c r="J254" s="90"/>
    </row>
    <row r="255" spans="1:10">
      <c r="A255" s="90"/>
      <c r="B255" s="90"/>
      <c r="C255" s="90"/>
      <c r="D255" s="90"/>
      <c r="E255" s="90"/>
      <c r="F255" s="90"/>
      <c r="G255" s="90"/>
      <c r="H255" s="90"/>
      <c r="I255" s="90"/>
      <c r="J255" s="90"/>
    </row>
    <row r="256" spans="1:10">
      <c r="A256" s="90"/>
      <c r="B256" s="90"/>
      <c r="C256" s="90"/>
      <c r="D256" s="90"/>
      <c r="E256" s="90"/>
      <c r="F256" s="90"/>
      <c r="G256" s="90"/>
      <c r="H256" s="90"/>
      <c r="I256" s="90"/>
      <c r="J256" s="90"/>
    </row>
    <row r="257" spans="1:10">
      <c r="A257" s="90"/>
      <c r="B257" s="90"/>
      <c r="C257" s="90"/>
      <c r="D257" s="90"/>
      <c r="E257" s="90"/>
      <c r="F257" s="90"/>
      <c r="G257" s="90"/>
      <c r="H257" s="90"/>
      <c r="I257" s="90"/>
      <c r="J257" s="90"/>
    </row>
    <row r="258" spans="1:10">
      <c r="A258" s="90"/>
      <c r="B258" s="90"/>
      <c r="C258" s="90"/>
      <c r="D258" s="90"/>
      <c r="E258" s="90"/>
      <c r="F258" s="90"/>
      <c r="G258" s="90"/>
      <c r="H258" s="90"/>
      <c r="I258" s="90"/>
      <c r="J258" s="90"/>
    </row>
    <row r="259" spans="1:10">
      <c r="A259" s="90"/>
      <c r="B259" s="90"/>
      <c r="C259" s="90"/>
      <c r="D259" s="90"/>
      <c r="E259" s="90"/>
      <c r="F259" s="90"/>
      <c r="G259" s="90"/>
      <c r="H259" s="90"/>
      <c r="I259" s="90"/>
      <c r="J259" s="90"/>
    </row>
    <row r="260" spans="1:10">
      <c r="A260" s="90"/>
      <c r="B260" s="90"/>
      <c r="C260" s="90"/>
      <c r="D260" s="90"/>
      <c r="E260" s="90"/>
      <c r="F260" s="90"/>
      <c r="G260" s="90"/>
      <c r="H260" s="90"/>
      <c r="I260" s="90"/>
      <c r="J260" s="90"/>
    </row>
    <row r="261" spans="1:10">
      <c r="A261" s="90"/>
      <c r="B261" s="90"/>
      <c r="C261" s="90"/>
      <c r="D261" s="90"/>
      <c r="E261" s="90"/>
      <c r="F261" s="90"/>
      <c r="G261" s="90"/>
      <c r="H261" s="90"/>
      <c r="I261" s="90"/>
      <c r="J261" s="90"/>
    </row>
    <row r="262" spans="1:10">
      <c r="A262" s="90"/>
      <c r="B262" s="90"/>
      <c r="C262" s="90"/>
      <c r="D262" s="90"/>
      <c r="E262" s="90"/>
      <c r="F262" s="90"/>
      <c r="G262" s="90"/>
      <c r="H262" s="90"/>
      <c r="I262" s="90"/>
      <c r="J262" s="90"/>
    </row>
    <row r="263" spans="1:10">
      <c r="A263" s="90"/>
      <c r="B263" s="90"/>
      <c r="C263" s="90"/>
      <c r="D263" s="90"/>
      <c r="E263" s="90"/>
      <c r="F263" s="90"/>
      <c r="G263" s="90"/>
      <c r="H263" s="90"/>
      <c r="I263" s="90"/>
      <c r="J263" s="90"/>
    </row>
    <row r="264" spans="1:10">
      <c r="A264" s="90"/>
      <c r="B264" s="90"/>
      <c r="C264" s="90"/>
      <c r="D264" s="90"/>
      <c r="E264" s="90"/>
      <c r="F264" s="90"/>
      <c r="G264" s="90"/>
      <c r="H264" s="90"/>
      <c r="I264" s="90"/>
      <c r="J264" s="90"/>
    </row>
    <row r="265" spans="1:10">
      <c r="A265" s="90"/>
      <c r="B265" s="90"/>
      <c r="C265" s="90"/>
      <c r="D265" s="90"/>
      <c r="E265" s="90"/>
      <c r="F265" s="90"/>
      <c r="G265" s="90"/>
      <c r="H265" s="90"/>
      <c r="I265" s="90"/>
      <c r="J265" s="90"/>
    </row>
    <row r="266" spans="1:10">
      <c r="A266" s="90"/>
      <c r="B266" s="90"/>
      <c r="C266" s="90"/>
      <c r="D266" s="90"/>
      <c r="E266" s="90"/>
      <c r="F266" s="90"/>
      <c r="G266" s="90"/>
      <c r="H266" s="90"/>
      <c r="I266" s="90"/>
      <c r="J266" s="90"/>
    </row>
    <row r="267" spans="1:10">
      <c r="A267" s="90"/>
      <c r="B267" s="90"/>
      <c r="C267" s="90"/>
      <c r="D267" s="90"/>
      <c r="E267" s="90"/>
      <c r="F267" s="90"/>
      <c r="G267" s="90"/>
      <c r="H267" s="90"/>
      <c r="I267" s="90"/>
      <c r="J267" s="90"/>
    </row>
    <row r="268" spans="1:10">
      <c r="A268" s="90"/>
      <c r="B268" s="90"/>
      <c r="C268" s="90"/>
      <c r="D268" s="90"/>
      <c r="E268" s="90"/>
      <c r="F268" s="90"/>
      <c r="G268" s="90"/>
      <c r="H268" s="90"/>
      <c r="I268" s="90"/>
      <c r="J268" s="90"/>
    </row>
    <row r="269" spans="1:10">
      <c r="A269" s="90"/>
      <c r="B269" s="90"/>
      <c r="C269" s="90"/>
      <c r="D269" s="90"/>
      <c r="E269" s="90"/>
      <c r="F269" s="90"/>
      <c r="G269" s="90"/>
      <c r="H269" s="90"/>
      <c r="I269" s="90"/>
      <c r="J269" s="90"/>
    </row>
    <row r="270" spans="1:10">
      <c r="A270" s="90"/>
      <c r="B270" s="90"/>
      <c r="C270" s="90"/>
      <c r="D270" s="90"/>
      <c r="E270" s="90"/>
      <c r="F270" s="90"/>
      <c r="G270" s="90"/>
      <c r="H270" s="90"/>
      <c r="I270" s="90"/>
      <c r="J270" s="90"/>
    </row>
    <row r="271" spans="1:10">
      <c r="A271" s="90"/>
      <c r="B271" s="90"/>
      <c r="C271" s="90"/>
      <c r="D271" s="90"/>
      <c r="E271" s="90"/>
      <c r="F271" s="90"/>
      <c r="G271" s="90"/>
      <c r="H271" s="90"/>
      <c r="I271" s="90"/>
      <c r="J271" s="90"/>
    </row>
    <row r="272" spans="1:10">
      <c r="A272" s="90"/>
      <c r="B272" s="90"/>
      <c r="C272" s="90"/>
      <c r="D272" s="90"/>
      <c r="E272" s="90"/>
      <c r="F272" s="90"/>
      <c r="G272" s="90"/>
      <c r="H272" s="90"/>
      <c r="I272" s="90"/>
      <c r="J272" s="90"/>
    </row>
    <row r="273" spans="1:10">
      <c r="A273" s="90"/>
      <c r="B273" s="90"/>
      <c r="C273" s="90"/>
      <c r="D273" s="90"/>
      <c r="E273" s="90"/>
      <c r="F273" s="90"/>
      <c r="G273" s="90"/>
      <c r="H273" s="90"/>
      <c r="I273" s="90"/>
      <c r="J273" s="90"/>
    </row>
    <row r="274" spans="1:10">
      <c r="A274" s="90"/>
      <c r="B274" s="90"/>
      <c r="C274" s="90"/>
      <c r="D274" s="90"/>
      <c r="E274" s="90"/>
      <c r="F274" s="90"/>
      <c r="G274" s="90"/>
      <c r="H274" s="90"/>
      <c r="I274" s="90"/>
      <c r="J274" s="90"/>
    </row>
    <row r="275" spans="1:10">
      <c r="A275" s="90"/>
      <c r="B275" s="90"/>
      <c r="C275" s="90"/>
      <c r="D275" s="90"/>
      <c r="E275" s="90"/>
      <c r="F275" s="90"/>
      <c r="G275" s="90"/>
      <c r="H275" s="90"/>
      <c r="I275" s="90"/>
      <c r="J275" s="90"/>
    </row>
    <row r="276" spans="1:10">
      <c r="A276" s="90"/>
      <c r="B276" s="90"/>
      <c r="C276" s="90"/>
      <c r="D276" s="90"/>
      <c r="E276" s="90"/>
      <c r="F276" s="90"/>
      <c r="G276" s="90"/>
      <c r="H276" s="90"/>
      <c r="I276" s="90"/>
      <c r="J276" s="90"/>
    </row>
    <row r="277" spans="1:10">
      <c r="A277" s="90"/>
      <c r="B277" s="90"/>
      <c r="C277" s="90"/>
      <c r="D277" s="90"/>
      <c r="E277" s="90"/>
      <c r="F277" s="90"/>
      <c r="G277" s="90"/>
      <c r="H277" s="90"/>
      <c r="I277" s="90"/>
      <c r="J277" s="90"/>
    </row>
    <row r="278" spans="1:10">
      <c r="A278" s="90"/>
      <c r="B278" s="90"/>
      <c r="C278" s="90"/>
      <c r="D278" s="90"/>
      <c r="E278" s="90"/>
      <c r="F278" s="90"/>
      <c r="G278" s="90"/>
      <c r="H278" s="90"/>
      <c r="I278" s="90"/>
      <c r="J278" s="90"/>
    </row>
    <row r="279" spans="1:10">
      <c r="A279" s="90"/>
      <c r="B279" s="90"/>
      <c r="C279" s="90"/>
      <c r="D279" s="90"/>
      <c r="E279" s="90"/>
      <c r="F279" s="90"/>
      <c r="G279" s="90"/>
      <c r="H279" s="90"/>
      <c r="I279" s="90"/>
      <c r="J279" s="90"/>
    </row>
    <row r="280" spans="1:10">
      <c r="A280" s="90"/>
      <c r="B280" s="90"/>
      <c r="C280" s="90"/>
      <c r="D280" s="90"/>
      <c r="E280" s="90"/>
      <c r="F280" s="90"/>
      <c r="G280" s="90"/>
      <c r="H280" s="90"/>
      <c r="I280" s="90"/>
      <c r="J280" s="90"/>
    </row>
    <row r="281" spans="1:10">
      <c r="A281" s="90"/>
      <c r="B281" s="90"/>
      <c r="C281" s="90"/>
      <c r="D281" s="90"/>
      <c r="E281" s="90"/>
      <c r="F281" s="90"/>
      <c r="G281" s="90"/>
      <c r="H281" s="90"/>
      <c r="I281" s="90"/>
      <c r="J281" s="90"/>
    </row>
    <row r="282" spans="1:10">
      <c r="A282" s="90"/>
      <c r="B282" s="90"/>
      <c r="C282" s="90"/>
      <c r="D282" s="90"/>
      <c r="E282" s="90"/>
      <c r="F282" s="90"/>
      <c r="G282" s="90"/>
      <c r="H282" s="90"/>
      <c r="I282" s="90"/>
      <c r="J282" s="90"/>
    </row>
    <row r="283" spans="1:10">
      <c r="A283" s="90"/>
      <c r="B283" s="90"/>
      <c r="C283" s="90"/>
      <c r="D283" s="90"/>
      <c r="E283" s="90"/>
      <c r="F283" s="90"/>
      <c r="G283" s="90"/>
      <c r="H283" s="90"/>
      <c r="I283" s="90"/>
      <c r="J283" s="90"/>
    </row>
    <row r="284" spans="1:10">
      <c r="A284" s="90"/>
      <c r="B284" s="90"/>
      <c r="C284" s="90"/>
      <c r="D284" s="90"/>
      <c r="E284" s="90"/>
      <c r="F284" s="90"/>
      <c r="G284" s="90"/>
      <c r="H284" s="90"/>
      <c r="I284" s="90"/>
      <c r="J284" s="90"/>
    </row>
    <row r="285" spans="1:10">
      <c r="A285" s="90"/>
      <c r="B285" s="90"/>
      <c r="C285" s="90"/>
      <c r="D285" s="90"/>
      <c r="E285" s="90"/>
      <c r="F285" s="90"/>
      <c r="G285" s="90"/>
      <c r="H285" s="90"/>
      <c r="I285" s="90"/>
      <c r="J285" s="90"/>
    </row>
    <row r="286" spans="1:10">
      <c r="A286" s="90"/>
      <c r="B286" s="90"/>
      <c r="C286" s="90"/>
      <c r="D286" s="90"/>
      <c r="E286" s="90"/>
      <c r="F286" s="90"/>
      <c r="G286" s="90"/>
      <c r="H286" s="90"/>
      <c r="I286" s="90"/>
      <c r="J286" s="90"/>
    </row>
    <row r="287" spans="1:10">
      <c r="A287" s="90"/>
      <c r="B287" s="90"/>
      <c r="C287" s="90"/>
      <c r="D287" s="90"/>
      <c r="E287" s="90"/>
      <c r="F287" s="90"/>
      <c r="G287" s="90"/>
      <c r="H287" s="90"/>
      <c r="I287" s="90"/>
      <c r="J287" s="90"/>
    </row>
    <row r="288" spans="1:10">
      <c r="A288" s="90"/>
      <c r="B288" s="90"/>
      <c r="C288" s="90"/>
      <c r="D288" s="90"/>
      <c r="E288" s="90"/>
      <c r="F288" s="90"/>
      <c r="G288" s="90"/>
      <c r="H288" s="90"/>
      <c r="I288" s="90"/>
      <c r="J288" s="90"/>
    </row>
    <row r="289" spans="1:10">
      <c r="A289" s="90"/>
      <c r="B289" s="90"/>
      <c r="C289" s="90"/>
      <c r="D289" s="90"/>
      <c r="E289" s="90"/>
      <c r="F289" s="90"/>
      <c r="G289" s="90"/>
      <c r="H289" s="90"/>
      <c r="I289" s="90"/>
      <c r="J289" s="90"/>
    </row>
    <row r="290" spans="1:10">
      <c r="A290" s="90"/>
      <c r="B290" s="90"/>
      <c r="C290" s="90"/>
      <c r="D290" s="90"/>
      <c r="E290" s="90"/>
      <c r="F290" s="90"/>
      <c r="G290" s="90"/>
      <c r="H290" s="90"/>
      <c r="I290" s="90"/>
      <c r="J290" s="90"/>
    </row>
    <row r="291" spans="1:10">
      <c r="A291" s="90"/>
      <c r="B291" s="90"/>
      <c r="C291" s="90"/>
      <c r="D291" s="90"/>
      <c r="E291" s="90"/>
      <c r="F291" s="90"/>
      <c r="G291" s="90"/>
      <c r="H291" s="90"/>
      <c r="I291" s="90"/>
      <c r="J291" s="90"/>
    </row>
    <row r="292" spans="1:10">
      <c r="A292" s="90"/>
      <c r="B292" s="90"/>
      <c r="C292" s="90"/>
      <c r="D292" s="90"/>
      <c r="E292" s="90"/>
      <c r="F292" s="90"/>
      <c r="G292" s="90"/>
      <c r="H292" s="90"/>
      <c r="I292" s="90"/>
      <c r="J292" s="90"/>
    </row>
    <row r="293" spans="1:10">
      <c r="A293" s="90"/>
      <c r="B293" s="90"/>
      <c r="C293" s="90"/>
      <c r="D293" s="90"/>
      <c r="E293" s="90"/>
      <c r="F293" s="90"/>
      <c r="G293" s="90"/>
      <c r="H293" s="90"/>
      <c r="I293" s="90"/>
      <c r="J293" s="90"/>
    </row>
    <row r="294" spans="1:10">
      <c r="A294" s="90"/>
      <c r="B294" s="90"/>
      <c r="C294" s="90"/>
      <c r="D294" s="90"/>
      <c r="E294" s="90"/>
      <c r="F294" s="90"/>
      <c r="G294" s="90"/>
      <c r="H294" s="90"/>
      <c r="I294" s="90"/>
      <c r="J294" s="90"/>
    </row>
    <row r="295" spans="1:10">
      <c r="A295" s="90"/>
      <c r="B295" s="90"/>
      <c r="C295" s="90"/>
      <c r="D295" s="90"/>
      <c r="E295" s="90"/>
      <c r="F295" s="90"/>
      <c r="G295" s="90"/>
      <c r="H295" s="90"/>
      <c r="I295" s="90"/>
      <c r="J295" s="90"/>
    </row>
    <row r="296" spans="1:10">
      <c r="A296" s="90"/>
      <c r="B296" s="90"/>
      <c r="C296" s="90"/>
      <c r="D296" s="90"/>
      <c r="E296" s="90"/>
      <c r="F296" s="90"/>
      <c r="G296" s="90"/>
      <c r="H296" s="90"/>
      <c r="I296" s="90"/>
      <c r="J296" s="90"/>
    </row>
    <row r="297" spans="1:10">
      <c r="A297" s="90"/>
      <c r="B297" s="90"/>
      <c r="C297" s="90"/>
      <c r="D297" s="90"/>
      <c r="E297" s="90"/>
      <c r="F297" s="90"/>
      <c r="G297" s="90"/>
      <c r="H297" s="90"/>
      <c r="I297" s="90"/>
      <c r="J297" s="90"/>
    </row>
    <row r="298" spans="1:10">
      <c r="A298" s="90"/>
      <c r="B298" s="90"/>
      <c r="C298" s="90"/>
      <c r="D298" s="90"/>
      <c r="E298" s="90"/>
      <c r="F298" s="90"/>
      <c r="G298" s="90"/>
      <c r="H298" s="90"/>
      <c r="I298" s="90"/>
      <c r="J298" s="90"/>
    </row>
    <row r="299" spans="1:10">
      <c r="A299" s="90"/>
      <c r="B299" s="90"/>
      <c r="C299" s="90"/>
      <c r="D299" s="90"/>
      <c r="E299" s="90"/>
      <c r="F299" s="90"/>
      <c r="G299" s="90"/>
      <c r="H299" s="90"/>
      <c r="I299" s="90"/>
      <c r="J299" s="90"/>
    </row>
    <row r="300" spans="1:10">
      <c r="A300" s="90"/>
      <c r="B300" s="90"/>
      <c r="C300" s="90"/>
      <c r="D300" s="90"/>
      <c r="E300" s="90"/>
      <c r="F300" s="90"/>
      <c r="G300" s="90"/>
      <c r="H300" s="90"/>
      <c r="I300" s="90"/>
      <c r="J300" s="90"/>
    </row>
    <row r="301" spans="1:10">
      <c r="A301" s="90"/>
      <c r="B301" s="90"/>
      <c r="C301" s="90"/>
      <c r="D301" s="90"/>
      <c r="E301" s="90"/>
      <c r="F301" s="90"/>
      <c r="G301" s="90"/>
      <c r="H301" s="90"/>
      <c r="I301" s="90"/>
      <c r="J301" s="90"/>
    </row>
    <row r="302" spans="1:10">
      <c r="A302" s="90"/>
      <c r="B302" s="90"/>
      <c r="C302" s="90"/>
      <c r="D302" s="90"/>
      <c r="E302" s="90"/>
      <c r="F302" s="90"/>
      <c r="G302" s="90"/>
      <c r="H302" s="90"/>
      <c r="I302" s="90"/>
      <c r="J302" s="90"/>
    </row>
    <row r="303" spans="1:10">
      <c r="A303" s="90"/>
      <c r="B303" s="90"/>
      <c r="C303" s="90"/>
      <c r="D303" s="90"/>
      <c r="E303" s="90"/>
      <c r="F303" s="90"/>
      <c r="G303" s="90"/>
      <c r="H303" s="90"/>
      <c r="I303" s="90"/>
      <c r="J303" s="90"/>
    </row>
    <row r="304" spans="1:10">
      <c r="A304" s="90"/>
      <c r="B304" s="90"/>
      <c r="C304" s="90"/>
      <c r="D304" s="90"/>
      <c r="E304" s="90"/>
      <c r="F304" s="90"/>
      <c r="G304" s="90"/>
      <c r="H304" s="90"/>
      <c r="I304" s="90"/>
      <c r="J304" s="90"/>
    </row>
    <row r="305" spans="1:10">
      <c r="A305" s="90"/>
      <c r="B305" s="90"/>
      <c r="C305" s="90"/>
      <c r="D305" s="90"/>
      <c r="E305" s="90"/>
      <c r="F305" s="90"/>
      <c r="G305" s="90"/>
      <c r="H305" s="90"/>
      <c r="I305" s="90"/>
      <c r="J305" s="90"/>
    </row>
    <row r="306" spans="1:10">
      <c r="A306" s="90"/>
      <c r="B306" s="90"/>
      <c r="C306" s="90"/>
      <c r="D306" s="90"/>
      <c r="E306" s="90"/>
      <c r="F306" s="90"/>
      <c r="G306" s="90"/>
      <c r="H306" s="90"/>
      <c r="I306" s="90"/>
      <c r="J306" s="90"/>
    </row>
    <row r="307" spans="1:10">
      <c r="A307" s="90"/>
      <c r="B307" s="90"/>
      <c r="C307" s="90"/>
      <c r="D307" s="90"/>
      <c r="E307" s="90"/>
      <c r="F307" s="90"/>
      <c r="G307" s="90"/>
      <c r="H307" s="90"/>
      <c r="I307" s="90"/>
      <c r="J307" s="90"/>
    </row>
    <row r="308" spans="1:10">
      <c r="A308" s="90"/>
      <c r="B308" s="90"/>
      <c r="C308" s="90"/>
      <c r="D308" s="90"/>
      <c r="E308" s="90"/>
      <c r="F308" s="90"/>
      <c r="G308" s="90"/>
      <c r="H308" s="90"/>
      <c r="I308" s="90"/>
      <c r="J308" s="90"/>
    </row>
    <row r="309" spans="1:10">
      <c r="A309" s="90"/>
      <c r="B309" s="90"/>
      <c r="C309" s="90"/>
      <c r="D309" s="90"/>
      <c r="E309" s="90"/>
      <c r="F309" s="90"/>
      <c r="G309" s="90"/>
      <c r="H309" s="90"/>
      <c r="I309" s="90"/>
      <c r="J309" s="90"/>
    </row>
    <row r="310" spans="1:10">
      <c r="A310" s="90"/>
      <c r="B310" s="90"/>
      <c r="C310" s="90"/>
      <c r="D310" s="90"/>
      <c r="E310" s="90"/>
      <c r="F310" s="90"/>
      <c r="G310" s="90"/>
      <c r="H310" s="90"/>
      <c r="I310" s="90"/>
      <c r="J310" s="90"/>
    </row>
    <row r="311" spans="1:10">
      <c r="A311" s="90"/>
      <c r="B311" s="90"/>
      <c r="C311" s="90"/>
      <c r="D311" s="90"/>
      <c r="E311" s="90"/>
      <c r="F311" s="90"/>
      <c r="G311" s="90"/>
      <c r="H311" s="90"/>
      <c r="I311" s="90"/>
      <c r="J311" s="90"/>
    </row>
    <row r="312" spans="1:10">
      <c r="A312" s="90"/>
      <c r="B312" s="90"/>
      <c r="C312" s="90"/>
      <c r="D312" s="90"/>
      <c r="E312" s="90"/>
      <c r="F312" s="90"/>
      <c r="G312" s="90"/>
      <c r="H312" s="90"/>
      <c r="I312" s="90"/>
      <c r="J312" s="90"/>
    </row>
    <row r="313" spans="1:10">
      <c r="A313" s="90"/>
      <c r="B313" s="90"/>
      <c r="C313" s="90"/>
      <c r="D313" s="90"/>
      <c r="E313" s="90"/>
      <c r="F313" s="90"/>
      <c r="G313" s="90"/>
      <c r="H313" s="90"/>
      <c r="I313" s="90"/>
      <c r="J313" s="90"/>
    </row>
    <row r="314" spans="1:10">
      <c r="A314" s="90"/>
      <c r="B314" s="90"/>
      <c r="C314" s="90"/>
      <c r="D314" s="90"/>
      <c r="E314" s="90"/>
      <c r="F314" s="90"/>
      <c r="G314" s="90"/>
      <c r="H314" s="90"/>
      <c r="I314" s="90"/>
      <c r="J314" s="90"/>
    </row>
    <row r="315" spans="1:10">
      <c r="A315" s="90"/>
      <c r="B315" s="90"/>
      <c r="C315" s="90"/>
      <c r="D315" s="90"/>
      <c r="E315" s="90"/>
      <c r="F315" s="90"/>
      <c r="G315" s="90"/>
      <c r="H315" s="90"/>
      <c r="I315" s="90"/>
      <c r="J315" s="90"/>
    </row>
    <row r="316" spans="1:10">
      <c r="A316" s="90"/>
      <c r="B316" s="90"/>
      <c r="C316" s="90"/>
      <c r="D316" s="90"/>
      <c r="E316" s="90"/>
      <c r="F316" s="90"/>
      <c r="G316" s="90"/>
      <c r="H316" s="90"/>
      <c r="I316" s="90"/>
      <c r="J316" s="90"/>
    </row>
    <row r="317" spans="1:10">
      <c r="A317" s="90"/>
      <c r="B317" s="90"/>
      <c r="C317" s="90"/>
      <c r="D317" s="90"/>
      <c r="E317" s="90"/>
      <c r="F317" s="90"/>
      <c r="G317" s="90"/>
      <c r="H317" s="90"/>
      <c r="I317" s="90"/>
      <c r="J317" s="90"/>
    </row>
    <row r="318" spans="1:10">
      <c r="A318" s="90"/>
      <c r="B318" s="90"/>
      <c r="C318" s="90"/>
      <c r="D318" s="90"/>
      <c r="E318" s="90"/>
      <c r="F318" s="90"/>
      <c r="G318" s="90"/>
      <c r="H318" s="90"/>
      <c r="I318" s="90"/>
      <c r="J318" s="90"/>
    </row>
    <row r="319" spans="1:10">
      <c r="A319" s="90"/>
      <c r="B319" s="90"/>
      <c r="C319" s="90"/>
      <c r="D319" s="90"/>
      <c r="E319" s="90"/>
      <c r="F319" s="90"/>
      <c r="G319" s="90"/>
      <c r="H319" s="90"/>
      <c r="I319" s="90"/>
      <c r="J319" s="90"/>
    </row>
    <row r="320" spans="1:10">
      <c r="A320" s="90"/>
      <c r="B320" s="90"/>
      <c r="C320" s="90"/>
      <c r="D320" s="90"/>
      <c r="E320" s="90"/>
      <c r="F320" s="90"/>
      <c r="G320" s="90"/>
      <c r="H320" s="90"/>
      <c r="I320" s="90"/>
      <c r="J320" s="90"/>
    </row>
    <row r="321" spans="1:10">
      <c r="A321" s="90"/>
      <c r="B321" s="90"/>
      <c r="C321" s="90"/>
      <c r="D321" s="90"/>
      <c r="E321" s="90"/>
      <c r="F321" s="90"/>
      <c r="G321" s="90"/>
      <c r="H321" s="90"/>
      <c r="I321" s="90"/>
      <c r="J321" s="90"/>
    </row>
    <row r="322" spans="1:10">
      <c r="A322" s="90"/>
      <c r="B322" s="90"/>
      <c r="C322" s="90"/>
      <c r="D322" s="90"/>
      <c r="E322" s="90"/>
      <c r="F322" s="90"/>
      <c r="G322" s="90"/>
      <c r="H322" s="90"/>
      <c r="I322" s="90"/>
      <c r="J322" s="90"/>
    </row>
    <row r="323" spans="1:10">
      <c r="A323" s="90"/>
      <c r="B323" s="90"/>
      <c r="C323" s="90"/>
      <c r="D323" s="90"/>
      <c r="E323" s="90"/>
      <c r="F323" s="90"/>
      <c r="G323" s="90"/>
      <c r="H323" s="90"/>
      <c r="I323" s="90"/>
      <c r="J323" s="90"/>
    </row>
    <row r="324" spans="1:10">
      <c r="A324" s="90"/>
      <c r="B324" s="90"/>
      <c r="C324" s="90"/>
      <c r="D324" s="90"/>
      <c r="E324" s="90"/>
      <c r="F324" s="90"/>
      <c r="G324" s="90"/>
      <c r="H324" s="90"/>
      <c r="I324" s="90"/>
      <c r="J324" s="90"/>
    </row>
    <row r="325" spans="1:10">
      <c r="A325" s="90"/>
      <c r="B325" s="90"/>
      <c r="C325" s="90"/>
      <c r="D325" s="90"/>
      <c r="E325" s="90"/>
      <c r="F325" s="90"/>
      <c r="G325" s="90"/>
      <c r="H325" s="90"/>
      <c r="I325" s="90"/>
      <c r="J325" s="90"/>
    </row>
    <row r="326" spans="1:10">
      <c r="A326" s="90"/>
      <c r="B326" s="90"/>
      <c r="C326" s="90"/>
      <c r="D326" s="90"/>
      <c r="E326" s="90"/>
      <c r="F326" s="90"/>
      <c r="G326" s="90"/>
      <c r="H326" s="90"/>
      <c r="I326" s="90"/>
      <c r="J326" s="90"/>
    </row>
    <row r="327" spans="1:10">
      <c r="A327" s="90"/>
      <c r="B327" s="90"/>
      <c r="C327" s="90"/>
      <c r="D327" s="90"/>
      <c r="E327" s="90"/>
      <c r="F327" s="90"/>
      <c r="G327" s="90"/>
      <c r="H327" s="90"/>
      <c r="I327" s="90"/>
      <c r="J327" s="90"/>
    </row>
    <row r="328" spans="1:10">
      <c r="A328" s="90"/>
      <c r="B328" s="90"/>
      <c r="C328" s="90"/>
      <c r="D328" s="90"/>
      <c r="E328" s="90"/>
      <c r="F328" s="90"/>
      <c r="G328" s="90"/>
      <c r="H328" s="90"/>
      <c r="I328" s="90"/>
      <c r="J328" s="90"/>
    </row>
    <row r="329" spans="1:10">
      <c r="A329" s="90"/>
      <c r="B329" s="90"/>
      <c r="C329" s="90"/>
      <c r="D329" s="90"/>
      <c r="E329" s="90"/>
      <c r="F329" s="90"/>
      <c r="G329" s="90"/>
      <c r="H329" s="90"/>
      <c r="I329" s="90"/>
      <c r="J329" s="90"/>
    </row>
    <row r="330" spans="1:10">
      <c r="A330" s="90"/>
      <c r="B330" s="90"/>
      <c r="C330" s="90"/>
      <c r="D330" s="90"/>
      <c r="E330" s="90"/>
      <c r="F330" s="90"/>
      <c r="G330" s="90"/>
      <c r="H330" s="90"/>
      <c r="I330" s="90"/>
      <c r="J330" s="90"/>
    </row>
    <row r="331" spans="1:10">
      <c r="A331" s="90"/>
      <c r="B331" s="90"/>
      <c r="C331" s="90"/>
      <c r="D331" s="90"/>
      <c r="E331" s="90"/>
      <c r="F331" s="90"/>
      <c r="G331" s="90"/>
      <c r="H331" s="90"/>
      <c r="I331" s="90"/>
      <c r="J331" s="90"/>
    </row>
    <row r="332" spans="1:10">
      <c r="A332" s="90"/>
      <c r="B332" s="90"/>
      <c r="C332" s="90"/>
      <c r="D332" s="90"/>
      <c r="E332" s="90"/>
      <c r="F332" s="90"/>
      <c r="G332" s="90"/>
      <c r="H332" s="90"/>
      <c r="I332" s="90"/>
      <c r="J332" s="90"/>
    </row>
    <row r="333" spans="1:10">
      <c r="A333" s="90"/>
      <c r="B333" s="90"/>
      <c r="C333" s="90"/>
      <c r="D333" s="90"/>
      <c r="E333" s="90"/>
      <c r="F333" s="90"/>
      <c r="G333" s="90"/>
      <c r="H333" s="90"/>
      <c r="I333" s="90"/>
      <c r="J333" s="90"/>
    </row>
    <row r="334" spans="1:10">
      <c r="A334" s="90"/>
      <c r="B334" s="90"/>
      <c r="C334" s="90"/>
      <c r="D334" s="90"/>
      <c r="E334" s="90"/>
      <c r="F334" s="90"/>
      <c r="G334" s="90"/>
      <c r="H334" s="90"/>
      <c r="I334" s="90"/>
      <c r="J334" s="90"/>
    </row>
    <row r="335" spans="1:10">
      <c r="A335" s="90"/>
      <c r="B335" s="90"/>
      <c r="C335" s="90"/>
      <c r="D335" s="90"/>
      <c r="E335" s="90"/>
      <c r="F335" s="90"/>
      <c r="G335" s="90"/>
      <c r="H335" s="90"/>
      <c r="I335" s="90"/>
      <c r="J335" s="90"/>
    </row>
    <row r="336" spans="1:10">
      <c r="A336" s="90"/>
      <c r="B336" s="90"/>
      <c r="C336" s="90"/>
      <c r="D336" s="90"/>
      <c r="E336" s="90"/>
      <c r="F336" s="90"/>
      <c r="G336" s="90"/>
      <c r="H336" s="90"/>
      <c r="I336" s="90"/>
      <c r="J336" s="90"/>
    </row>
    <row r="337" spans="1:10">
      <c r="A337" s="90"/>
      <c r="B337" s="90"/>
      <c r="C337" s="90"/>
      <c r="D337" s="90"/>
      <c r="E337" s="90"/>
      <c r="F337" s="90"/>
      <c r="G337" s="90"/>
      <c r="H337" s="90"/>
      <c r="I337" s="90"/>
      <c r="J337" s="90"/>
    </row>
    <row r="338" spans="1:10">
      <c r="A338" s="90"/>
      <c r="B338" s="90"/>
      <c r="C338" s="90"/>
      <c r="D338" s="90"/>
      <c r="E338" s="90"/>
      <c r="F338" s="90"/>
      <c r="G338" s="90"/>
      <c r="H338" s="90"/>
      <c r="I338" s="90"/>
      <c r="J338" s="90"/>
    </row>
    <row r="339" spans="1:10">
      <c r="A339" s="90"/>
      <c r="B339" s="90"/>
      <c r="C339" s="90"/>
      <c r="D339" s="90"/>
      <c r="E339" s="90"/>
      <c r="F339" s="90"/>
      <c r="G339" s="90"/>
      <c r="H339" s="90"/>
      <c r="I339" s="90"/>
      <c r="J339" s="90"/>
    </row>
    <row r="340" spans="1:10">
      <c r="A340" s="90"/>
      <c r="B340" s="90"/>
      <c r="C340" s="90"/>
      <c r="D340" s="90"/>
      <c r="E340" s="90"/>
      <c r="F340" s="90"/>
      <c r="G340" s="90"/>
      <c r="H340" s="90"/>
      <c r="I340" s="90"/>
      <c r="J340" s="90"/>
    </row>
    <row r="341" spans="1:10">
      <c r="A341" s="90"/>
      <c r="B341" s="90"/>
      <c r="C341" s="90"/>
      <c r="D341" s="90"/>
      <c r="E341" s="90"/>
      <c r="F341" s="90"/>
      <c r="G341" s="90"/>
      <c r="H341" s="90"/>
      <c r="I341" s="90"/>
      <c r="J341" s="90"/>
    </row>
    <row r="342" spans="1:10">
      <c r="A342" s="90"/>
      <c r="B342" s="90"/>
      <c r="C342" s="90"/>
      <c r="D342" s="90"/>
      <c r="E342" s="90"/>
      <c r="F342" s="90"/>
      <c r="G342" s="90"/>
      <c r="H342" s="90"/>
      <c r="I342" s="90"/>
      <c r="J342" s="90"/>
    </row>
    <row r="343" spans="1:10">
      <c r="A343" s="90"/>
      <c r="B343" s="90"/>
      <c r="C343" s="90"/>
      <c r="D343" s="90"/>
      <c r="E343" s="90"/>
      <c r="F343" s="90"/>
      <c r="G343" s="90"/>
      <c r="H343" s="90"/>
      <c r="I343" s="90"/>
      <c r="J343" s="90"/>
    </row>
    <row r="344" spans="1:10">
      <c r="A344" s="90"/>
      <c r="B344" s="90"/>
      <c r="C344" s="90"/>
      <c r="D344" s="90"/>
      <c r="E344" s="90"/>
      <c r="F344" s="90"/>
      <c r="G344" s="90"/>
      <c r="H344" s="90"/>
      <c r="I344" s="90"/>
      <c r="J344" s="90"/>
    </row>
    <row r="345" spans="1:10">
      <c r="A345" s="90"/>
      <c r="B345" s="90"/>
      <c r="C345" s="90"/>
      <c r="D345" s="90"/>
      <c r="E345" s="90"/>
      <c r="F345" s="90"/>
      <c r="G345" s="90"/>
      <c r="H345" s="90"/>
      <c r="I345" s="90"/>
      <c r="J345" s="90"/>
    </row>
    <row r="346" spans="1:10">
      <c r="A346" s="90"/>
      <c r="B346" s="90"/>
      <c r="C346" s="90"/>
      <c r="D346" s="90"/>
      <c r="E346" s="90"/>
      <c r="F346" s="90"/>
      <c r="G346" s="90"/>
      <c r="H346" s="90"/>
      <c r="I346" s="90"/>
      <c r="J346" s="90"/>
    </row>
    <row r="347" spans="1:10">
      <c r="A347" s="90"/>
      <c r="B347" s="90"/>
      <c r="C347" s="90"/>
      <c r="D347" s="90"/>
      <c r="E347" s="90"/>
      <c r="F347" s="90"/>
      <c r="G347" s="90"/>
      <c r="H347" s="90"/>
      <c r="I347" s="90"/>
      <c r="J347" s="90"/>
    </row>
    <row r="348" spans="1:10">
      <c r="A348" s="90"/>
      <c r="B348" s="90"/>
      <c r="C348" s="90"/>
      <c r="D348" s="90"/>
      <c r="E348" s="90"/>
      <c r="F348" s="90"/>
      <c r="G348" s="90"/>
      <c r="H348" s="90"/>
      <c r="I348" s="90"/>
      <c r="J348" s="90"/>
    </row>
    <row r="349" spans="1:10">
      <c r="A349" s="90"/>
      <c r="B349" s="90"/>
      <c r="C349" s="90"/>
      <c r="D349" s="90"/>
      <c r="E349" s="90"/>
      <c r="F349" s="90"/>
      <c r="G349" s="90"/>
      <c r="H349" s="90"/>
      <c r="I349" s="90"/>
      <c r="J349" s="90"/>
    </row>
    <row r="350" spans="1:10">
      <c r="A350" s="90"/>
      <c r="B350" s="90"/>
      <c r="C350" s="90"/>
      <c r="D350" s="90"/>
      <c r="E350" s="90"/>
      <c r="F350" s="90"/>
      <c r="G350" s="90"/>
      <c r="H350" s="90"/>
      <c r="I350" s="90"/>
      <c r="J350" s="90"/>
    </row>
    <row r="351" spans="1:10">
      <c r="A351" s="90"/>
      <c r="B351" s="90"/>
      <c r="C351" s="90"/>
      <c r="D351" s="90"/>
      <c r="E351" s="90"/>
      <c r="F351" s="90"/>
      <c r="G351" s="90"/>
      <c r="H351" s="90"/>
      <c r="I351" s="90"/>
      <c r="J351" s="90"/>
    </row>
    <row r="352" spans="1:10">
      <c r="A352" s="90"/>
      <c r="B352" s="90"/>
      <c r="C352" s="90"/>
      <c r="D352" s="90"/>
      <c r="E352" s="90"/>
      <c r="F352" s="90"/>
      <c r="G352" s="90"/>
      <c r="H352" s="90"/>
      <c r="I352" s="90"/>
      <c r="J352" s="90"/>
    </row>
    <row r="353" spans="1:10">
      <c r="A353" s="90"/>
      <c r="B353" s="90"/>
      <c r="C353" s="90"/>
      <c r="D353" s="90"/>
      <c r="E353" s="90"/>
      <c r="F353" s="90"/>
      <c r="G353" s="90"/>
      <c r="H353" s="90"/>
      <c r="I353" s="90"/>
      <c r="J353" s="90"/>
    </row>
    <row r="354" spans="1:10">
      <c r="A354" s="90"/>
      <c r="B354" s="90"/>
      <c r="C354" s="90"/>
      <c r="D354" s="90"/>
      <c r="E354" s="90"/>
      <c r="F354" s="90"/>
      <c r="G354" s="90"/>
      <c r="H354" s="90"/>
      <c r="I354" s="90"/>
      <c r="J354" s="90"/>
    </row>
    <row r="355" spans="1:10">
      <c r="A355" s="90"/>
      <c r="B355" s="90"/>
      <c r="C355" s="90"/>
      <c r="D355" s="90"/>
      <c r="E355" s="90"/>
      <c r="F355" s="90"/>
      <c r="G355" s="90"/>
      <c r="H355" s="90"/>
      <c r="I355" s="90"/>
      <c r="J355" s="90"/>
    </row>
    <row r="356" spans="1:10">
      <c r="A356" s="90"/>
      <c r="B356" s="90"/>
      <c r="C356" s="90"/>
      <c r="D356" s="90"/>
      <c r="E356" s="90"/>
      <c r="F356" s="90"/>
      <c r="G356" s="90"/>
      <c r="H356" s="90"/>
      <c r="I356" s="90"/>
      <c r="J356" s="90"/>
    </row>
    <row r="357" spans="1:10">
      <c r="A357" s="90"/>
      <c r="B357" s="90"/>
      <c r="C357" s="90"/>
      <c r="D357" s="90"/>
      <c r="E357" s="90"/>
      <c r="F357" s="90"/>
      <c r="G357" s="90"/>
      <c r="H357" s="90"/>
      <c r="I357" s="90"/>
      <c r="J357" s="90"/>
    </row>
    <row r="358" spans="1:10">
      <c r="A358" s="90"/>
      <c r="B358" s="90"/>
      <c r="C358" s="90"/>
      <c r="D358" s="90"/>
      <c r="E358" s="90"/>
      <c r="F358" s="90"/>
      <c r="G358" s="90"/>
      <c r="H358" s="90"/>
      <c r="I358" s="90"/>
      <c r="J358" s="90"/>
    </row>
    <row r="359" spans="1:10">
      <c r="A359" s="90"/>
      <c r="B359" s="90"/>
      <c r="C359" s="90"/>
      <c r="D359" s="90"/>
      <c r="E359" s="90"/>
      <c r="F359" s="90"/>
      <c r="G359" s="90"/>
      <c r="H359" s="90"/>
      <c r="I359" s="90"/>
      <c r="J359" s="90"/>
    </row>
    <row r="360" spans="1:10">
      <c r="A360" s="90"/>
      <c r="B360" s="90"/>
      <c r="C360" s="90"/>
      <c r="D360" s="90"/>
      <c r="E360" s="90"/>
      <c r="F360" s="90"/>
      <c r="G360" s="90"/>
      <c r="H360" s="90"/>
      <c r="I360" s="90"/>
      <c r="J360" s="90"/>
    </row>
    <row r="361" spans="1:10">
      <c r="A361" s="90"/>
      <c r="B361" s="90"/>
      <c r="C361" s="90"/>
      <c r="D361" s="90"/>
      <c r="E361" s="90"/>
      <c r="F361" s="90"/>
      <c r="G361" s="90"/>
      <c r="H361" s="90"/>
      <c r="I361" s="90"/>
      <c r="J361" s="90"/>
    </row>
    <row r="362" spans="1:10">
      <c r="A362" s="90"/>
      <c r="B362" s="90"/>
      <c r="C362" s="90"/>
      <c r="D362" s="90"/>
      <c r="E362" s="90"/>
      <c r="F362" s="90"/>
      <c r="G362" s="90"/>
      <c r="H362" s="90"/>
      <c r="I362" s="90"/>
      <c r="J362" s="90"/>
    </row>
    <row r="363" spans="1:10">
      <c r="A363" s="90"/>
      <c r="B363" s="90"/>
      <c r="C363" s="90"/>
      <c r="D363" s="90"/>
      <c r="E363" s="90"/>
      <c r="F363" s="90"/>
      <c r="G363" s="90"/>
      <c r="H363" s="90"/>
      <c r="I363" s="90"/>
      <c r="J363" s="90"/>
    </row>
    <row r="364" spans="1:10">
      <c r="A364" s="90"/>
      <c r="B364" s="90"/>
      <c r="C364" s="90"/>
      <c r="D364" s="90"/>
      <c r="E364" s="90"/>
      <c r="F364" s="90"/>
      <c r="G364" s="90"/>
      <c r="H364" s="90"/>
      <c r="I364" s="90"/>
      <c r="J364" s="90"/>
    </row>
    <row r="365" spans="1:10">
      <c r="A365" s="90"/>
      <c r="B365" s="90"/>
      <c r="C365" s="90"/>
      <c r="D365" s="90"/>
      <c r="E365" s="90"/>
      <c r="F365" s="90"/>
      <c r="G365" s="90"/>
      <c r="H365" s="90"/>
      <c r="I365" s="90"/>
      <c r="J365" s="90"/>
    </row>
    <row r="366" spans="1:10">
      <c r="A366" s="90"/>
      <c r="B366" s="90"/>
      <c r="C366" s="90"/>
      <c r="D366" s="90"/>
      <c r="E366" s="90"/>
      <c r="F366" s="90"/>
      <c r="G366" s="90"/>
      <c r="H366" s="90"/>
      <c r="I366" s="90"/>
      <c r="J366" s="90"/>
    </row>
    <row r="367" spans="1:10">
      <c r="A367" s="90"/>
      <c r="B367" s="90"/>
      <c r="C367" s="90"/>
      <c r="D367" s="90"/>
      <c r="E367" s="90"/>
      <c r="F367" s="90"/>
      <c r="G367" s="90"/>
      <c r="H367" s="90"/>
      <c r="I367" s="90"/>
      <c r="J367" s="90"/>
    </row>
    <row r="368" spans="1:10">
      <c r="A368" s="90"/>
      <c r="B368" s="90"/>
      <c r="C368" s="90"/>
      <c r="D368" s="90"/>
      <c r="E368" s="90"/>
      <c r="F368" s="90"/>
      <c r="G368" s="90"/>
      <c r="H368" s="90"/>
      <c r="I368" s="90"/>
      <c r="J368" s="90"/>
    </row>
    <row r="369" spans="1:10">
      <c r="A369" s="90"/>
      <c r="B369" s="90"/>
      <c r="C369" s="90"/>
      <c r="D369" s="90"/>
      <c r="E369" s="90"/>
      <c r="F369" s="90"/>
      <c r="G369" s="90"/>
      <c r="H369" s="90"/>
      <c r="I369" s="90"/>
      <c r="J369" s="90"/>
    </row>
    <row r="370" spans="1:10">
      <c r="A370" s="90"/>
      <c r="B370" s="90"/>
      <c r="C370" s="90"/>
      <c r="D370" s="90"/>
      <c r="E370" s="90"/>
      <c r="F370" s="90"/>
      <c r="G370" s="90"/>
      <c r="H370" s="90"/>
      <c r="I370" s="90"/>
      <c r="J370" s="90"/>
    </row>
    <row r="371" spans="1:10">
      <c r="A371" s="90"/>
      <c r="B371" s="90"/>
      <c r="C371" s="90"/>
      <c r="D371" s="90"/>
      <c r="E371" s="90"/>
      <c r="F371" s="90"/>
      <c r="G371" s="90"/>
      <c r="H371" s="90"/>
      <c r="I371" s="90"/>
      <c r="J371" s="90"/>
    </row>
    <row r="372" spans="1:10">
      <c r="A372" s="90"/>
      <c r="B372" s="90"/>
      <c r="C372" s="90"/>
      <c r="D372" s="90"/>
      <c r="E372" s="90"/>
      <c r="F372" s="90"/>
      <c r="G372" s="90"/>
      <c r="H372" s="90"/>
      <c r="I372" s="90"/>
      <c r="J372" s="90"/>
    </row>
    <row r="373" spans="1:10">
      <c r="A373" s="90"/>
      <c r="B373" s="90"/>
      <c r="C373" s="90"/>
      <c r="D373" s="90"/>
      <c r="E373" s="90"/>
      <c r="F373" s="90"/>
      <c r="G373" s="90"/>
      <c r="H373" s="90"/>
      <c r="I373" s="90"/>
      <c r="J373" s="90"/>
    </row>
    <row r="374" spans="1:10">
      <c r="A374" s="90"/>
      <c r="B374" s="90"/>
      <c r="C374" s="90"/>
      <c r="D374" s="90"/>
      <c r="E374" s="90"/>
      <c r="F374" s="90"/>
      <c r="G374" s="90"/>
      <c r="H374" s="90"/>
      <c r="I374" s="90"/>
      <c r="J374" s="90"/>
    </row>
    <row r="375" spans="1:10">
      <c r="A375" s="90"/>
      <c r="B375" s="90"/>
      <c r="C375" s="90"/>
      <c r="D375" s="90"/>
      <c r="E375" s="90"/>
      <c r="F375" s="90"/>
      <c r="G375" s="90"/>
      <c r="H375" s="90"/>
      <c r="I375" s="90"/>
      <c r="J375" s="90"/>
    </row>
    <row r="376" spans="1:10">
      <c r="A376" s="90"/>
      <c r="B376" s="90"/>
      <c r="C376" s="90"/>
      <c r="D376" s="90"/>
      <c r="E376" s="90"/>
      <c r="F376" s="90"/>
      <c r="G376" s="90"/>
      <c r="H376" s="90"/>
      <c r="I376" s="90"/>
      <c r="J376" s="90"/>
    </row>
    <row r="377" spans="1:10">
      <c r="A377" s="90"/>
      <c r="B377" s="90"/>
      <c r="C377" s="90"/>
      <c r="D377" s="90"/>
      <c r="E377" s="90"/>
      <c r="F377" s="90"/>
      <c r="G377" s="90"/>
      <c r="H377" s="90"/>
      <c r="I377" s="90"/>
      <c r="J377" s="90"/>
    </row>
    <row r="378" spans="1:10">
      <c r="A378" s="90"/>
      <c r="B378" s="90"/>
      <c r="C378" s="90"/>
      <c r="D378" s="90"/>
      <c r="E378" s="90"/>
      <c r="F378" s="90"/>
      <c r="G378" s="90"/>
      <c r="H378" s="90"/>
      <c r="I378" s="90"/>
      <c r="J378" s="90"/>
    </row>
    <row r="379" spans="1:10">
      <c r="A379" s="90"/>
      <c r="B379" s="90"/>
      <c r="C379" s="90"/>
      <c r="D379" s="90"/>
      <c r="E379" s="90"/>
      <c r="F379" s="90"/>
      <c r="G379" s="90"/>
      <c r="H379" s="90"/>
      <c r="I379" s="90"/>
      <c r="J379" s="90"/>
    </row>
    <row r="380" spans="1:10">
      <c r="A380" s="90"/>
      <c r="B380" s="90"/>
      <c r="C380" s="90"/>
      <c r="D380" s="90"/>
      <c r="E380" s="90"/>
      <c r="F380" s="90"/>
      <c r="G380" s="90"/>
      <c r="H380" s="90"/>
      <c r="I380" s="90"/>
      <c r="J380" s="90"/>
    </row>
    <row r="381" spans="1:10">
      <c r="A381" s="90"/>
      <c r="B381" s="90"/>
      <c r="C381" s="90"/>
      <c r="D381" s="90"/>
      <c r="E381" s="90"/>
      <c r="F381" s="90"/>
      <c r="G381" s="90"/>
      <c r="H381" s="90"/>
      <c r="I381" s="90"/>
      <c r="J381" s="90"/>
    </row>
    <row r="382" spans="1:10">
      <c r="A382" s="90"/>
      <c r="B382" s="90"/>
      <c r="C382" s="90"/>
      <c r="D382" s="90"/>
      <c r="E382" s="90"/>
      <c r="F382" s="90"/>
      <c r="G382" s="90"/>
      <c r="H382" s="90"/>
      <c r="I382" s="90"/>
      <c r="J382" s="90"/>
    </row>
    <row r="383" spans="1:10">
      <c r="A383" s="90"/>
      <c r="B383" s="90"/>
      <c r="C383" s="90"/>
      <c r="D383" s="90"/>
      <c r="E383" s="90"/>
      <c r="F383" s="90"/>
      <c r="G383" s="90"/>
      <c r="H383" s="90"/>
      <c r="I383" s="90"/>
      <c r="J383" s="90"/>
    </row>
    <row r="384" spans="1:10">
      <c r="A384" s="90"/>
      <c r="B384" s="90"/>
      <c r="C384" s="90"/>
      <c r="D384" s="90"/>
      <c r="E384" s="90"/>
      <c r="F384" s="90"/>
      <c r="G384" s="90"/>
      <c r="H384" s="90"/>
      <c r="I384" s="90"/>
      <c r="J384" s="90"/>
    </row>
    <row r="385" spans="1:10">
      <c r="A385" s="90"/>
      <c r="B385" s="90"/>
      <c r="C385" s="90"/>
      <c r="D385" s="90"/>
      <c r="E385" s="90"/>
      <c r="F385" s="90"/>
      <c r="G385" s="90"/>
      <c r="H385" s="90"/>
      <c r="I385" s="90"/>
      <c r="J385" s="90"/>
    </row>
    <row r="386" spans="1:10">
      <c r="A386" s="90"/>
      <c r="B386" s="90"/>
      <c r="C386" s="90"/>
      <c r="D386" s="90"/>
      <c r="E386" s="90"/>
      <c r="F386" s="90"/>
      <c r="G386" s="90"/>
      <c r="H386" s="90"/>
      <c r="I386" s="90"/>
      <c r="J386" s="90"/>
    </row>
    <row r="387" spans="1:10">
      <c r="A387" s="90"/>
      <c r="B387" s="90"/>
      <c r="C387" s="90"/>
      <c r="D387" s="90"/>
      <c r="E387" s="90"/>
      <c r="F387" s="90"/>
      <c r="G387" s="90"/>
      <c r="H387" s="90"/>
      <c r="I387" s="90"/>
      <c r="J387" s="90"/>
    </row>
    <row r="388" spans="1:10">
      <c r="A388" s="90"/>
      <c r="B388" s="90"/>
      <c r="C388" s="90"/>
      <c r="D388" s="90"/>
      <c r="E388" s="90"/>
      <c r="F388" s="90"/>
      <c r="G388" s="90"/>
      <c r="H388" s="90"/>
      <c r="I388" s="90"/>
      <c r="J388" s="90"/>
    </row>
    <row r="389" spans="1:10">
      <c r="A389" s="90"/>
      <c r="B389" s="90"/>
      <c r="C389" s="90"/>
      <c r="D389" s="90"/>
      <c r="E389" s="90"/>
      <c r="F389" s="90"/>
      <c r="G389" s="90"/>
      <c r="H389" s="90"/>
      <c r="I389" s="90"/>
      <c r="J389" s="90"/>
    </row>
    <row r="390" spans="1:10">
      <c r="A390" s="90"/>
      <c r="B390" s="90"/>
      <c r="C390" s="90"/>
      <c r="D390" s="90"/>
      <c r="E390" s="90"/>
      <c r="F390" s="90"/>
      <c r="G390" s="90"/>
      <c r="H390" s="90"/>
      <c r="I390" s="90"/>
      <c r="J390" s="90"/>
    </row>
    <row r="391" spans="1:10">
      <c r="A391" s="90"/>
      <c r="B391" s="90"/>
      <c r="C391" s="90"/>
      <c r="D391" s="90"/>
      <c r="E391" s="90"/>
      <c r="F391" s="90"/>
      <c r="G391" s="90"/>
      <c r="H391" s="90"/>
      <c r="I391" s="90"/>
      <c r="J391" s="90"/>
    </row>
    <row r="392" spans="1:10">
      <c r="A392" s="90"/>
      <c r="B392" s="90"/>
      <c r="C392" s="90"/>
      <c r="D392" s="90"/>
      <c r="E392" s="90"/>
      <c r="F392" s="90"/>
      <c r="G392" s="90"/>
      <c r="H392" s="90"/>
      <c r="I392" s="90"/>
      <c r="J392" s="90"/>
    </row>
    <row r="393" spans="1:10">
      <c r="A393" s="90"/>
      <c r="B393" s="90"/>
      <c r="C393" s="90"/>
      <c r="D393" s="90"/>
      <c r="E393" s="90"/>
      <c r="F393" s="90"/>
      <c r="G393" s="90"/>
      <c r="H393" s="90"/>
      <c r="I393" s="90"/>
      <c r="J393" s="90"/>
    </row>
    <row r="394" spans="1:10">
      <c r="A394" s="90"/>
      <c r="B394" s="90"/>
      <c r="C394" s="90"/>
      <c r="D394" s="90"/>
      <c r="E394" s="90"/>
      <c r="F394" s="90"/>
      <c r="G394" s="90"/>
      <c r="H394" s="90"/>
      <c r="I394" s="90"/>
      <c r="J394" s="90"/>
    </row>
    <row r="395" spans="1:10">
      <c r="A395" s="90"/>
      <c r="B395" s="90"/>
      <c r="C395" s="90"/>
      <c r="D395" s="90"/>
      <c r="E395" s="90"/>
      <c r="F395" s="90"/>
      <c r="G395" s="90"/>
      <c r="H395" s="90"/>
      <c r="I395" s="90"/>
      <c r="J395" s="90"/>
    </row>
    <row r="396" spans="1:10">
      <c r="A396" s="90"/>
      <c r="B396" s="90"/>
      <c r="C396" s="90"/>
      <c r="D396" s="90"/>
      <c r="E396" s="90"/>
      <c r="F396" s="90"/>
      <c r="G396" s="90"/>
      <c r="H396" s="90"/>
      <c r="I396" s="90"/>
      <c r="J396" s="90"/>
    </row>
    <row r="397" spans="1:10">
      <c r="A397" s="90"/>
      <c r="B397" s="90"/>
      <c r="C397" s="90"/>
      <c r="D397" s="90"/>
      <c r="E397" s="90"/>
      <c r="F397" s="90"/>
      <c r="G397" s="90"/>
      <c r="H397" s="90"/>
      <c r="I397" s="90"/>
      <c r="J397" s="90"/>
    </row>
    <row r="398" spans="1:10">
      <c r="A398" s="90"/>
      <c r="B398" s="90"/>
      <c r="C398" s="90"/>
      <c r="D398" s="90"/>
      <c r="E398" s="90"/>
      <c r="F398" s="90"/>
      <c r="G398" s="90"/>
      <c r="H398" s="90"/>
      <c r="I398" s="90"/>
      <c r="J398" s="90"/>
    </row>
    <row r="399" spans="1:10">
      <c r="A399" s="90"/>
      <c r="B399" s="90"/>
      <c r="C399" s="90"/>
      <c r="D399" s="90"/>
      <c r="E399" s="90"/>
      <c r="F399" s="90"/>
      <c r="G399" s="90"/>
      <c r="H399" s="90"/>
      <c r="I399" s="90"/>
      <c r="J399" s="90"/>
    </row>
    <row r="400" spans="1:10">
      <c r="A400" s="90"/>
      <c r="B400" s="90"/>
      <c r="C400" s="90"/>
      <c r="D400" s="90"/>
      <c r="E400" s="90"/>
      <c r="F400" s="90"/>
      <c r="G400" s="90"/>
      <c r="H400" s="90"/>
      <c r="I400" s="90"/>
      <c r="J400" s="90"/>
    </row>
    <row r="401" spans="1:10">
      <c r="A401" s="90"/>
      <c r="B401" s="90"/>
      <c r="C401" s="90"/>
      <c r="D401" s="90"/>
      <c r="E401" s="90"/>
      <c r="F401" s="90"/>
      <c r="G401" s="90"/>
      <c r="H401" s="90"/>
      <c r="I401" s="90"/>
      <c r="J401" s="90"/>
    </row>
    <row r="402" spans="1:10">
      <c r="A402" s="90"/>
      <c r="B402" s="90"/>
      <c r="C402" s="90"/>
      <c r="D402" s="90"/>
      <c r="E402" s="90"/>
      <c r="F402" s="90"/>
      <c r="G402" s="90"/>
      <c r="H402" s="90"/>
      <c r="I402" s="90"/>
      <c r="J402" s="90"/>
    </row>
    <row r="403" spans="1:10">
      <c r="A403" s="90"/>
      <c r="B403" s="90"/>
      <c r="C403" s="90"/>
      <c r="D403" s="90"/>
      <c r="E403" s="90"/>
      <c r="F403" s="90"/>
      <c r="G403" s="90"/>
      <c r="H403" s="90"/>
      <c r="I403" s="90"/>
      <c r="J403" s="90"/>
    </row>
    <row r="404" spans="1:10">
      <c r="A404" s="90"/>
      <c r="B404" s="90"/>
      <c r="C404" s="90"/>
      <c r="D404" s="90"/>
      <c r="E404" s="90"/>
      <c r="F404" s="90"/>
      <c r="G404" s="90"/>
      <c r="H404" s="90"/>
      <c r="I404" s="90"/>
      <c r="J404" s="90"/>
    </row>
    <row r="405" spans="1:10">
      <c r="A405" s="90"/>
      <c r="B405" s="90"/>
      <c r="C405" s="90"/>
      <c r="D405" s="90"/>
      <c r="E405" s="90"/>
      <c r="F405" s="90"/>
      <c r="G405" s="90"/>
      <c r="H405" s="90"/>
      <c r="I405" s="90"/>
      <c r="J405" s="90"/>
    </row>
    <row r="406" spans="1:10">
      <c r="A406" s="90"/>
      <c r="B406" s="90"/>
      <c r="C406" s="90"/>
      <c r="D406" s="90"/>
      <c r="E406" s="90"/>
      <c r="F406" s="90"/>
      <c r="G406" s="90"/>
      <c r="H406" s="90"/>
      <c r="I406" s="90"/>
      <c r="J406" s="90"/>
    </row>
    <row r="407" spans="1:10">
      <c r="A407" s="90"/>
      <c r="B407" s="90"/>
      <c r="C407" s="90"/>
      <c r="D407" s="90"/>
      <c r="E407" s="90"/>
      <c r="F407" s="90"/>
      <c r="G407" s="90"/>
      <c r="H407" s="90"/>
      <c r="I407" s="90"/>
      <c r="J407" s="90"/>
    </row>
    <row r="408" spans="1:10">
      <c r="A408" s="90"/>
      <c r="B408" s="90"/>
      <c r="C408" s="90"/>
      <c r="D408" s="90"/>
      <c r="E408" s="90"/>
      <c r="F408" s="90"/>
      <c r="G408" s="90"/>
      <c r="H408" s="90"/>
      <c r="I408" s="90"/>
      <c r="J408" s="90"/>
    </row>
    <row r="409" spans="1:10">
      <c r="A409" s="90"/>
      <c r="B409" s="90"/>
      <c r="C409" s="90"/>
      <c r="D409" s="90"/>
      <c r="E409" s="90"/>
      <c r="F409" s="90"/>
      <c r="G409" s="90"/>
      <c r="H409" s="90"/>
      <c r="I409" s="90"/>
      <c r="J409" s="90"/>
    </row>
    <row r="410" spans="1:10">
      <c r="A410" s="90"/>
      <c r="B410" s="90"/>
      <c r="C410" s="90"/>
      <c r="D410" s="90"/>
      <c r="E410" s="90"/>
      <c r="F410" s="90"/>
      <c r="G410" s="90"/>
      <c r="H410" s="90"/>
      <c r="I410" s="90"/>
      <c r="J410" s="90"/>
    </row>
    <row r="411" spans="1:10">
      <c r="A411" s="90"/>
      <c r="B411" s="90"/>
      <c r="C411" s="90"/>
      <c r="D411" s="90"/>
      <c r="E411" s="90"/>
      <c r="F411" s="90"/>
      <c r="G411" s="90"/>
      <c r="H411" s="90"/>
      <c r="I411" s="90"/>
      <c r="J411" s="90"/>
    </row>
    <row r="412" spans="1:10">
      <c r="A412" s="90"/>
      <c r="B412" s="90"/>
      <c r="C412" s="90"/>
      <c r="D412" s="90"/>
      <c r="E412" s="90"/>
      <c r="F412" s="90"/>
      <c r="G412" s="90"/>
      <c r="H412" s="90"/>
      <c r="I412" s="90"/>
      <c r="J412" s="90"/>
    </row>
    <row r="413" spans="1:10">
      <c r="A413" s="90"/>
      <c r="B413" s="90"/>
      <c r="C413" s="90"/>
      <c r="D413" s="90"/>
      <c r="E413" s="90"/>
      <c r="F413" s="90"/>
      <c r="G413" s="90"/>
      <c r="H413" s="90"/>
      <c r="I413" s="90"/>
      <c r="J413" s="90"/>
    </row>
    <row r="414" spans="1:10">
      <c r="A414" s="90"/>
      <c r="B414" s="90"/>
      <c r="C414" s="90"/>
      <c r="D414" s="90"/>
      <c r="E414" s="90"/>
      <c r="F414" s="90"/>
      <c r="G414" s="90"/>
      <c r="H414" s="90"/>
      <c r="I414" s="90"/>
      <c r="J414" s="90"/>
    </row>
    <row r="415" spans="1:10">
      <c r="A415" s="90"/>
      <c r="B415" s="90"/>
      <c r="C415" s="90"/>
      <c r="D415" s="90"/>
      <c r="E415" s="90"/>
      <c r="F415" s="90"/>
      <c r="G415" s="90"/>
      <c r="H415" s="90"/>
      <c r="I415" s="90"/>
      <c r="J415" s="90"/>
    </row>
    <row r="416" spans="1:10">
      <c r="A416" s="90"/>
      <c r="B416" s="90"/>
      <c r="C416" s="90"/>
      <c r="D416" s="90"/>
      <c r="E416" s="90"/>
      <c r="F416" s="90"/>
      <c r="G416" s="90"/>
      <c r="H416" s="90"/>
      <c r="I416" s="90"/>
      <c r="J416" s="90"/>
    </row>
    <row r="417" spans="1:10">
      <c r="A417" s="90"/>
      <c r="B417" s="90"/>
      <c r="C417" s="90"/>
      <c r="D417" s="90"/>
      <c r="E417" s="90"/>
      <c r="F417" s="90"/>
      <c r="G417" s="90"/>
      <c r="H417" s="90"/>
      <c r="I417" s="90"/>
      <c r="J417" s="90"/>
    </row>
    <row r="418" spans="1:10">
      <c r="A418" s="90"/>
      <c r="B418" s="90"/>
      <c r="C418" s="90"/>
      <c r="D418" s="90"/>
      <c r="E418" s="90"/>
      <c r="F418" s="90"/>
      <c r="G418" s="90"/>
      <c r="H418" s="90"/>
      <c r="I418" s="90"/>
      <c r="J418" s="90"/>
    </row>
    <row r="419" spans="1:10">
      <c r="A419" s="90"/>
      <c r="B419" s="90"/>
      <c r="C419" s="90"/>
      <c r="D419" s="90"/>
      <c r="E419" s="90"/>
      <c r="F419" s="90"/>
      <c r="G419" s="90"/>
      <c r="H419" s="90"/>
      <c r="I419" s="90"/>
      <c r="J419" s="90"/>
    </row>
    <row r="420" spans="1:10">
      <c r="A420" s="90"/>
      <c r="B420" s="90"/>
      <c r="C420" s="90"/>
      <c r="D420" s="90"/>
      <c r="E420" s="90"/>
      <c r="F420" s="90"/>
      <c r="G420" s="90"/>
      <c r="H420" s="90"/>
      <c r="I420" s="90"/>
      <c r="J420" s="90"/>
    </row>
    <row r="421" spans="1:10">
      <c r="A421" s="90"/>
      <c r="B421" s="90"/>
      <c r="C421" s="90"/>
      <c r="D421" s="90"/>
      <c r="E421" s="90"/>
      <c r="F421" s="90"/>
      <c r="G421" s="90"/>
      <c r="H421" s="90"/>
      <c r="I421" s="90"/>
      <c r="J421" s="90"/>
    </row>
    <row r="422" spans="1:10">
      <c r="A422" s="90"/>
      <c r="B422" s="90"/>
      <c r="C422" s="90"/>
      <c r="D422" s="90"/>
      <c r="E422" s="90"/>
      <c r="F422" s="90"/>
      <c r="G422" s="90"/>
      <c r="H422" s="90"/>
      <c r="I422" s="90"/>
      <c r="J422" s="90"/>
    </row>
    <row r="423" spans="1:10">
      <c r="A423" s="90"/>
      <c r="B423" s="90"/>
      <c r="C423" s="90"/>
      <c r="D423" s="90"/>
      <c r="E423" s="90"/>
      <c r="F423" s="90"/>
      <c r="G423" s="90"/>
      <c r="H423" s="90"/>
      <c r="I423" s="90"/>
      <c r="J423" s="90"/>
    </row>
    <row r="424" spans="1:10">
      <c r="A424" s="90"/>
      <c r="B424" s="90"/>
      <c r="C424" s="90"/>
      <c r="D424" s="90"/>
      <c r="E424" s="90"/>
      <c r="F424" s="90"/>
      <c r="G424" s="90"/>
      <c r="H424" s="90"/>
      <c r="I424" s="90"/>
      <c r="J424" s="90"/>
    </row>
    <row r="425" spans="1:10">
      <c r="A425" s="90"/>
      <c r="B425" s="90"/>
      <c r="C425" s="90"/>
      <c r="D425" s="90"/>
      <c r="E425" s="90"/>
      <c r="F425" s="90"/>
      <c r="G425" s="90"/>
      <c r="H425" s="90"/>
      <c r="I425" s="90"/>
      <c r="J425" s="90"/>
    </row>
    <row r="426" spans="1:10">
      <c r="A426" s="90"/>
      <c r="B426" s="90"/>
      <c r="C426" s="90"/>
      <c r="D426" s="90"/>
      <c r="E426" s="90"/>
      <c r="F426" s="90"/>
      <c r="G426" s="90"/>
      <c r="H426" s="90"/>
      <c r="I426" s="90"/>
      <c r="J426" s="90"/>
    </row>
    <row r="427" spans="1:10">
      <c r="A427" s="90"/>
      <c r="B427" s="90"/>
      <c r="C427" s="90"/>
      <c r="D427" s="90"/>
      <c r="E427" s="90"/>
      <c r="F427" s="90"/>
      <c r="G427" s="90"/>
      <c r="H427" s="90"/>
      <c r="I427" s="90"/>
      <c r="J427" s="90"/>
    </row>
    <row r="428" spans="1:10">
      <c r="A428" s="90"/>
      <c r="B428" s="90"/>
      <c r="C428" s="90"/>
      <c r="D428" s="90"/>
      <c r="E428" s="90"/>
      <c r="F428" s="90"/>
      <c r="G428" s="90"/>
      <c r="H428" s="90"/>
      <c r="I428" s="90"/>
      <c r="J428" s="90"/>
    </row>
    <row r="429" spans="1:10">
      <c r="A429" s="90"/>
      <c r="B429" s="90"/>
      <c r="C429" s="90"/>
      <c r="D429" s="90"/>
      <c r="E429" s="90"/>
      <c r="F429" s="90"/>
      <c r="G429" s="90"/>
      <c r="H429" s="90"/>
      <c r="I429" s="90"/>
      <c r="J429" s="90"/>
    </row>
    <row r="430" spans="1:10">
      <c r="A430" s="90"/>
      <c r="B430" s="90"/>
      <c r="C430" s="90"/>
      <c r="D430" s="90"/>
      <c r="E430" s="90"/>
      <c r="F430" s="90"/>
      <c r="G430" s="90"/>
      <c r="H430" s="90"/>
      <c r="I430" s="90"/>
      <c r="J430" s="90"/>
    </row>
    <row r="431" spans="1:10">
      <c r="A431" s="90"/>
      <c r="B431" s="90"/>
      <c r="C431" s="90"/>
      <c r="D431" s="90"/>
      <c r="E431" s="90"/>
      <c r="F431" s="90"/>
      <c r="G431" s="90"/>
      <c r="H431" s="90"/>
      <c r="I431" s="90"/>
      <c r="J431" s="90"/>
    </row>
    <row r="432" spans="1:10">
      <c r="A432" s="90"/>
      <c r="B432" s="90"/>
      <c r="C432" s="90"/>
      <c r="D432" s="90"/>
      <c r="E432" s="90"/>
      <c r="F432" s="90"/>
      <c r="G432" s="90"/>
      <c r="H432" s="90"/>
      <c r="I432" s="90"/>
      <c r="J432" s="90"/>
    </row>
    <row r="433" spans="1:10">
      <c r="A433" s="90"/>
      <c r="B433" s="90"/>
      <c r="C433" s="90"/>
      <c r="D433" s="90"/>
      <c r="E433" s="90"/>
      <c r="F433" s="90"/>
      <c r="G433" s="90"/>
      <c r="H433" s="90"/>
      <c r="I433" s="90"/>
      <c r="J433" s="90"/>
    </row>
    <row r="434" spans="1:10">
      <c r="A434" s="90"/>
      <c r="B434" s="90"/>
      <c r="C434" s="90"/>
      <c r="D434" s="90"/>
      <c r="E434" s="90"/>
      <c r="F434" s="90"/>
      <c r="G434" s="90"/>
      <c r="H434" s="90"/>
      <c r="I434" s="90"/>
      <c r="J434" s="90"/>
    </row>
    <row r="435" spans="1:10">
      <c r="A435" s="90"/>
      <c r="B435" s="90"/>
      <c r="C435" s="90"/>
      <c r="D435" s="90"/>
      <c r="E435" s="90"/>
      <c r="F435" s="90"/>
      <c r="G435" s="90"/>
      <c r="H435" s="90"/>
      <c r="I435" s="90"/>
      <c r="J435" s="90"/>
    </row>
    <row r="436" spans="1:10">
      <c r="A436" s="90"/>
      <c r="B436" s="90"/>
      <c r="C436" s="90"/>
      <c r="D436" s="90"/>
      <c r="E436" s="90"/>
      <c r="F436" s="90"/>
      <c r="G436" s="90"/>
      <c r="H436" s="90"/>
      <c r="I436" s="90"/>
      <c r="J436" s="90"/>
    </row>
    <row r="437" spans="1:10">
      <c r="A437" s="90"/>
      <c r="B437" s="90"/>
      <c r="C437" s="90"/>
      <c r="D437" s="90"/>
      <c r="E437" s="90"/>
      <c r="F437" s="90"/>
      <c r="G437" s="90"/>
      <c r="H437" s="90"/>
      <c r="I437" s="90"/>
      <c r="J437" s="90"/>
    </row>
    <row r="438" spans="1:10">
      <c r="A438" s="90"/>
      <c r="B438" s="90"/>
      <c r="C438" s="90"/>
      <c r="D438" s="90"/>
      <c r="E438" s="90"/>
      <c r="F438" s="90"/>
      <c r="G438" s="90"/>
      <c r="H438" s="90"/>
      <c r="I438" s="90"/>
      <c r="J438" s="90"/>
    </row>
    <row r="439" spans="1:10">
      <c r="A439" s="90"/>
      <c r="B439" s="90"/>
      <c r="C439" s="90"/>
      <c r="D439" s="90"/>
      <c r="E439" s="90"/>
      <c r="F439" s="90"/>
      <c r="G439" s="90"/>
      <c r="H439" s="90"/>
      <c r="I439" s="90"/>
      <c r="J439" s="90"/>
    </row>
    <row r="440" spans="1:10">
      <c r="A440" s="90"/>
      <c r="B440" s="90"/>
      <c r="C440" s="90"/>
      <c r="D440" s="90"/>
      <c r="E440" s="90"/>
      <c r="F440" s="90"/>
      <c r="G440" s="90"/>
      <c r="H440" s="90"/>
      <c r="I440" s="90"/>
      <c r="J440" s="90"/>
    </row>
    <row r="441" spans="1:10">
      <c r="A441" s="90"/>
      <c r="B441" s="90"/>
      <c r="C441" s="90"/>
      <c r="D441" s="90"/>
      <c r="E441" s="90"/>
      <c r="F441" s="90"/>
      <c r="G441" s="90"/>
      <c r="H441" s="90"/>
      <c r="I441" s="90"/>
      <c r="J441" s="90"/>
    </row>
    <row r="442" spans="1:10">
      <c r="A442" s="90"/>
      <c r="B442" s="90"/>
      <c r="C442" s="90"/>
      <c r="D442" s="90"/>
      <c r="E442" s="90"/>
      <c r="F442" s="90"/>
      <c r="G442" s="90"/>
      <c r="H442" s="90"/>
      <c r="I442" s="90"/>
      <c r="J442" s="90"/>
    </row>
    <row r="443" spans="1:10">
      <c r="A443" s="90"/>
      <c r="B443" s="90"/>
      <c r="C443" s="90"/>
      <c r="D443" s="90"/>
      <c r="E443" s="90"/>
      <c r="F443" s="90"/>
      <c r="G443" s="90"/>
      <c r="H443" s="90"/>
      <c r="I443" s="90"/>
      <c r="J443" s="90"/>
    </row>
    <row r="444" spans="1:10">
      <c r="A444" s="90"/>
      <c r="B444" s="90"/>
      <c r="C444" s="90"/>
      <c r="D444" s="90"/>
      <c r="E444" s="90"/>
      <c r="F444" s="90"/>
      <c r="G444" s="90"/>
      <c r="H444" s="90"/>
      <c r="I444" s="90"/>
      <c r="J444" s="90"/>
    </row>
    <row r="445" spans="1:10">
      <c r="A445" s="90"/>
      <c r="B445" s="90"/>
      <c r="C445" s="90"/>
      <c r="D445" s="90"/>
      <c r="E445" s="90"/>
      <c r="F445" s="90"/>
      <c r="G445" s="90"/>
      <c r="H445" s="90"/>
      <c r="I445" s="90"/>
      <c r="J445" s="90"/>
    </row>
    <row r="446" spans="1:10">
      <c r="A446" s="90"/>
      <c r="B446" s="90"/>
      <c r="C446" s="90"/>
      <c r="D446" s="90"/>
      <c r="E446" s="90"/>
      <c r="F446" s="90"/>
      <c r="G446" s="90"/>
      <c r="H446" s="90"/>
      <c r="I446" s="90"/>
      <c r="J446" s="90"/>
    </row>
    <row r="447" spans="1:10">
      <c r="A447" s="90"/>
      <c r="B447" s="90"/>
      <c r="C447" s="90"/>
      <c r="D447" s="90"/>
      <c r="E447" s="90"/>
      <c r="F447" s="90"/>
      <c r="G447" s="90"/>
      <c r="H447" s="90"/>
      <c r="I447" s="90"/>
      <c r="J447" s="90"/>
    </row>
    <row r="448" spans="1:10">
      <c r="A448" s="90"/>
      <c r="B448" s="90"/>
      <c r="C448" s="90"/>
      <c r="D448" s="90"/>
      <c r="E448" s="90"/>
      <c r="F448" s="90"/>
      <c r="G448" s="90"/>
      <c r="H448" s="90"/>
      <c r="I448" s="90"/>
      <c r="J448" s="90"/>
    </row>
    <row r="449" spans="1:10">
      <c r="A449" s="90"/>
      <c r="B449" s="90"/>
      <c r="C449" s="90"/>
      <c r="D449" s="90"/>
      <c r="E449" s="90"/>
      <c r="F449" s="90"/>
      <c r="G449" s="90"/>
      <c r="H449" s="90"/>
      <c r="I449" s="90"/>
      <c r="J449" s="90"/>
    </row>
    <row r="450" spans="1:10">
      <c r="A450" s="90"/>
      <c r="B450" s="90"/>
      <c r="C450" s="90"/>
      <c r="D450" s="90"/>
      <c r="E450" s="90"/>
      <c r="F450" s="90"/>
      <c r="G450" s="90"/>
      <c r="H450" s="90"/>
      <c r="I450" s="90"/>
      <c r="J450" s="90"/>
    </row>
    <row r="451" spans="1:10">
      <c r="A451" s="90"/>
      <c r="B451" s="90"/>
      <c r="C451" s="90"/>
      <c r="D451" s="90"/>
      <c r="E451" s="90"/>
      <c r="F451" s="90"/>
      <c r="G451" s="90"/>
      <c r="H451" s="90"/>
      <c r="I451" s="90"/>
      <c r="J451" s="90"/>
    </row>
    <row r="452" spans="1:10">
      <c r="A452" s="90"/>
      <c r="B452" s="90"/>
      <c r="C452" s="90"/>
      <c r="D452" s="90"/>
      <c r="E452" s="90"/>
      <c r="F452" s="90"/>
      <c r="G452" s="90"/>
      <c r="H452" s="90"/>
      <c r="I452" s="90"/>
      <c r="J452" s="90"/>
    </row>
    <row r="453" spans="1:10">
      <c r="A453" s="90"/>
      <c r="B453" s="90"/>
      <c r="C453" s="90"/>
      <c r="D453" s="90"/>
      <c r="E453" s="90"/>
      <c r="F453" s="90"/>
      <c r="G453" s="90"/>
      <c r="H453" s="90"/>
      <c r="I453" s="90"/>
      <c r="J453" s="90"/>
    </row>
    <row r="454" spans="1:10">
      <c r="A454" s="90"/>
      <c r="B454" s="90"/>
      <c r="C454" s="90"/>
      <c r="D454" s="90"/>
      <c r="E454" s="90"/>
      <c r="F454" s="90"/>
      <c r="G454" s="90"/>
      <c r="H454" s="90"/>
      <c r="I454" s="90"/>
      <c r="J454" s="90"/>
    </row>
    <row r="455" spans="1:10">
      <c r="A455" s="90"/>
      <c r="B455" s="90"/>
      <c r="C455" s="90"/>
      <c r="D455" s="90"/>
      <c r="E455" s="90"/>
      <c r="F455" s="90"/>
      <c r="G455" s="90"/>
      <c r="H455" s="90"/>
      <c r="I455" s="90"/>
      <c r="J455" s="90"/>
    </row>
    <row r="456" spans="1:10">
      <c r="A456" s="90"/>
      <c r="B456" s="90"/>
      <c r="C456" s="90"/>
      <c r="D456" s="90"/>
      <c r="E456" s="90"/>
      <c r="F456" s="90"/>
      <c r="G456" s="90"/>
      <c r="H456" s="90"/>
      <c r="I456" s="90"/>
      <c r="J456" s="90"/>
    </row>
    <row r="457" spans="1:10">
      <c r="A457" s="90"/>
      <c r="B457" s="90"/>
      <c r="C457" s="90"/>
      <c r="D457" s="90"/>
      <c r="E457" s="90"/>
      <c r="F457" s="90"/>
      <c r="G457" s="90"/>
      <c r="H457" s="90"/>
      <c r="I457" s="90"/>
      <c r="J457" s="90"/>
    </row>
    <row r="458" spans="1:10">
      <c r="A458" s="90"/>
      <c r="B458" s="90"/>
      <c r="C458" s="90"/>
      <c r="D458" s="90"/>
      <c r="E458" s="90"/>
      <c r="F458" s="90"/>
      <c r="G458" s="90"/>
      <c r="H458" s="90"/>
      <c r="I458" s="90"/>
      <c r="J458" s="90"/>
    </row>
    <row r="459" spans="1:10">
      <c r="A459" s="90"/>
      <c r="B459" s="90"/>
      <c r="C459" s="90"/>
      <c r="D459" s="90"/>
      <c r="E459" s="90"/>
      <c r="F459" s="90"/>
      <c r="G459" s="90"/>
      <c r="H459" s="90"/>
      <c r="I459" s="90"/>
      <c r="J459" s="90"/>
    </row>
    <row r="460" spans="1:10">
      <c r="A460" s="90"/>
      <c r="B460" s="90"/>
      <c r="C460" s="90"/>
      <c r="D460" s="90"/>
      <c r="E460" s="90"/>
      <c r="F460" s="90"/>
      <c r="G460" s="90"/>
      <c r="H460" s="90"/>
      <c r="I460" s="90"/>
      <c r="J460" s="90"/>
    </row>
    <row r="461" spans="1:10">
      <c r="A461" s="90"/>
      <c r="B461" s="90"/>
      <c r="C461" s="90"/>
      <c r="D461" s="90"/>
      <c r="E461" s="90"/>
      <c r="F461" s="90"/>
      <c r="G461" s="90"/>
      <c r="H461" s="90"/>
      <c r="I461" s="90"/>
      <c r="J461" s="90"/>
    </row>
    <row r="462" spans="1:10">
      <c r="A462" s="90"/>
      <c r="B462" s="90"/>
      <c r="C462" s="90"/>
      <c r="D462" s="90"/>
      <c r="E462" s="90"/>
      <c r="F462" s="90"/>
      <c r="G462" s="90"/>
      <c r="H462" s="90"/>
      <c r="I462" s="90"/>
      <c r="J462" s="90"/>
    </row>
    <row r="463" spans="1:10">
      <c r="A463" s="90"/>
      <c r="B463" s="90"/>
      <c r="C463" s="90"/>
      <c r="D463" s="90"/>
      <c r="E463" s="90"/>
      <c r="F463" s="90"/>
      <c r="G463" s="90"/>
      <c r="H463" s="90"/>
      <c r="I463" s="90"/>
      <c r="J463" s="90"/>
    </row>
    <row r="464" spans="1:10">
      <c r="A464" s="90"/>
      <c r="B464" s="90"/>
      <c r="C464" s="90"/>
      <c r="D464" s="90"/>
      <c r="E464" s="90"/>
      <c r="F464" s="90"/>
      <c r="G464" s="90"/>
      <c r="H464" s="90"/>
      <c r="I464" s="90"/>
      <c r="J464" s="90"/>
    </row>
    <row r="465" spans="1:10">
      <c r="A465" s="90"/>
      <c r="B465" s="90"/>
      <c r="C465" s="90"/>
      <c r="D465" s="90"/>
      <c r="E465" s="90"/>
      <c r="F465" s="90"/>
      <c r="G465" s="90"/>
      <c r="H465" s="90"/>
      <c r="I465" s="90"/>
      <c r="J465" s="90"/>
    </row>
    <row r="466" spans="1:10">
      <c r="A466" s="90"/>
      <c r="B466" s="90"/>
      <c r="C466" s="90"/>
      <c r="D466" s="90"/>
      <c r="E466" s="90"/>
      <c r="F466" s="90"/>
      <c r="G466" s="90"/>
      <c r="H466" s="90"/>
      <c r="I466" s="90"/>
      <c r="J466" s="90"/>
    </row>
    <row r="467" spans="1:10">
      <c r="A467" s="90"/>
      <c r="B467" s="90"/>
      <c r="C467" s="90"/>
      <c r="D467" s="90"/>
      <c r="E467" s="90"/>
      <c r="F467" s="90"/>
      <c r="G467" s="90"/>
      <c r="H467" s="90"/>
      <c r="I467" s="90"/>
      <c r="J467" s="90"/>
    </row>
    <row r="468" spans="1:10">
      <c r="A468" s="90"/>
      <c r="B468" s="90"/>
      <c r="C468" s="90"/>
      <c r="D468" s="90"/>
      <c r="E468" s="90"/>
      <c r="F468" s="90"/>
      <c r="G468" s="90"/>
      <c r="H468" s="90"/>
      <c r="I468" s="90"/>
      <c r="J468" s="90"/>
    </row>
    <row r="469" spans="1:10">
      <c r="A469" s="90"/>
      <c r="B469" s="90"/>
      <c r="C469" s="90"/>
      <c r="D469" s="90"/>
      <c r="E469" s="90"/>
      <c r="F469" s="90"/>
      <c r="G469" s="90"/>
      <c r="H469" s="90"/>
      <c r="I469" s="90"/>
      <c r="J469" s="90"/>
    </row>
    <row r="470" spans="1:10">
      <c r="A470" s="90"/>
      <c r="B470" s="90"/>
      <c r="C470" s="90"/>
      <c r="D470" s="90"/>
      <c r="E470" s="90"/>
      <c r="F470" s="90"/>
      <c r="G470" s="90"/>
      <c r="H470" s="90"/>
      <c r="I470" s="90"/>
      <c r="J470" s="90"/>
    </row>
    <row r="471" spans="1:10">
      <c r="A471" s="90"/>
      <c r="B471" s="90"/>
      <c r="C471" s="90"/>
      <c r="D471" s="90"/>
      <c r="E471" s="90"/>
      <c r="F471" s="90"/>
      <c r="G471" s="90"/>
      <c r="H471" s="90"/>
      <c r="I471" s="90"/>
      <c r="J471" s="90"/>
    </row>
    <row r="472" spans="1:10">
      <c r="A472" s="90"/>
      <c r="B472" s="90"/>
      <c r="C472" s="90"/>
      <c r="D472" s="90"/>
      <c r="E472" s="90"/>
      <c r="F472" s="90"/>
      <c r="G472" s="90"/>
      <c r="H472" s="90"/>
      <c r="I472" s="90"/>
      <c r="J472" s="90"/>
    </row>
    <row r="473" spans="1:10">
      <c r="A473" s="90"/>
      <c r="B473" s="90"/>
      <c r="C473" s="90"/>
      <c r="D473" s="90"/>
      <c r="E473" s="90"/>
      <c r="F473" s="90"/>
      <c r="G473" s="90"/>
      <c r="H473" s="90"/>
      <c r="I473" s="90"/>
      <c r="J473" s="90"/>
    </row>
    <row r="474" spans="1:10">
      <c r="A474" s="90"/>
      <c r="B474" s="90"/>
      <c r="C474" s="90"/>
      <c r="D474" s="90"/>
      <c r="E474" s="90"/>
      <c r="F474" s="90"/>
      <c r="G474" s="90"/>
      <c r="H474" s="90"/>
      <c r="I474" s="90"/>
      <c r="J474" s="90"/>
    </row>
    <row r="475" spans="1:10">
      <c r="A475" s="90"/>
      <c r="B475" s="90"/>
      <c r="C475" s="90"/>
      <c r="D475" s="90"/>
      <c r="E475" s="90"/>
      <c r="F475" s="90"/>
      <c r="G475" s="90"/>
      <c r="H475" s="90"/>
      <c r="I475" s="90"/>
      <c r="J475" s="90"/>
    </row>
    <row r="476" spans="1:10">
      <c r="A476" s="90"/>
      <c r="B476" s="90"/>
      <c r="C476" s="90"/>
      <c r="D476" s="90"/>
      <c r="E476" s="90"/>
      <c r="F476" s="90"/>
      <c r="G476" s="90"/>
      <c r="H476" s="90"/>
      <c r="I476" s="90"/>
      <c r="J476" s="90"/>
    </row>
    <row r="477" spans="1:10">
      <c r="A477" s="90"/>
      <c r="B477" s="90"/>
      <c r="C477" s="90"/>
      <c r="D477" s="90"/>
      <c r="E477" s="90"/>
      <c r="F477" s="90"/>
      <c r="G477" s="90"/>
      <c r="H477" s="90"/>
      <c r="I477" s="90"/>
      <c r="J477" s="90"/>
    </row>
    <row r="478" spans="1:10">
      <c r="A478" s="90"/>
      <c r="B478" s="90"/>
      <c r="C478" s="90"/>
      <c r="D478" s="90"/>
      <c r="E478" s="90"/>
      <c r="F478" s="90"/>
      <c r="G478" s="90"/>
      <c r="H478" s="90"/>
      <c r="I478" s="90"/>
      <c r="J478" s="90"/>
    </row>
    <row r="479" spans="1:10">
      <c r="A479" s="90"/>
      <c r="B479" s="90"/>
      <c r="C479" s="90"/>
      <c r="D479" s="90"/>
      <c r="E479" s="90"/>
      <c r="F479" s="90"/>
      <c r="G479" s="90"/>
      <c r="H479" s="90"/>
      <c r="I479" s="90"/>
      <c r="J479" s="90"/>
    </row>
    <row r="480" spans="1:10">
      <c r="A480" s="90"/>
      <c r="B480" s="90"/>
      <c r="C480" s="90"/>
      <c r="D480" s="90"/>
      <c r="E480" s="90"/>
      <c r="F480" s="90"/>
      <c r="G480" s="90"/>
      <c r="H480" s="90"/>
      <c r="I480" s="90"/>
      <c r="J480" s="90"/>
    </row>
    <row r="481" spans="1:10">
      <c r="A481" s="90"/>
      <c r="B481" s="90"/>
      <c r="C481" s="90"/>
      <c r="D481" s="90"/>
      <c r="E481" s="90"/>
      <c r="F481" s="90"/>
      <c r="G481" s="90"/>
      <c r="H481" s="90"/>
      <c r="I481" s="90"/>
      <c r="J481" s="90"/>
    </row>
    <row r="482" spans="1:10">
      <c r="A482" s="90"/>
      <c r="B482" s="90"/>
      <c r="C482" s="90"/>
      <c r="D482" s="90"/>
      <c r="E482" s="90"/>
      <c r="F482" s="90"/>
      <c r="G482" s="90"/>
      <c r="H482" s="90"/>
      <c r="I482" s="90"/>
      <c r="J482" s="90"/>
    </row>
    <row r="483" spans="1:10">
      <c r="A483" s="90"/>
      <c r="B483" s="90"/>
      <c r="C483" s="90"/>
      <c r="D483" s="90"/>
      <c r="E483" s="90"/>
      <c r="F483" s="90"/>
      <c r="G483" s="90"/>
      <c r="H483" s="90"/>
      <c r="I483" s="90"/>
      <c r="J483" s="90"/>
    </row>
    <row r="484" spans="1:10">
      <c r="A484" s="90"/>
      <c r="B484" s="90"/>
      <c r="C484" s="90"/>
      <c r="D484" s="90"/>
      <c r="E484" s="90"/>
      <c r="F484" s="90"/>
      <c r="G484" s="90"/>
      <c r="H484" s="90"/>
      <c r="I484" s="90"/>
      <c r="J484" s="90"/>
    </row>
    <row r="485" spans="1:10">
      <c r="A485" s="90"/>
      <c r="B485" s="90"/>
      <c r="C485" s="90"/>
      <c r="D485" s="90"/>
      <c r="E485" s="90"/>
      <c r="F485" s="90"/>
      <c r="G485" s="90"/>
      <c r="H485" s="90"/>
      <c r="I485" s="90"/>
      <c r="J485" s="90"/>
    </row>
    <row r="486" spans="1:10">
      <c r="A486" s="90"/>
      <c r="B486" s="90"/>
      <c r="C486" s="90"/>
      <c r="D486" s="90"/>
      <c r="E486" s="90"/>
      <c r="F486" s="90"/>
      <c r="G486" s="90"/>
      <c r="H486" s="90"/>
      <c r="I486" s="90"/>
      <c r="J486" s="90"/>
    </row>
    <row r="487" spans="1:10">
      <c r="A487" s="90"/>
      <c r="B487" s="90"/>
      <c r="C487" s="90"/>
      <c r="D487" s="90"/>
      <c r="E487" s="90"/>
      <c r="F487" s="90"/>
      <c r="G487" s="90"/>
      <c r="H487" s="90"/>
      <c r="I487" s="90"/>
      <c r="J487" s="90"/>
    </row>
    <row r="488" spans="1:10">
      <c r="A488" s="90"/>
      <c r="B488" s="90"/>
      <c r="C488" s="90"/>
      <c r="D488" s="90"/>
      <c r="E488" s="90"/>
      <c r="F488" s="90"/>
      <c r="G488" s="90"/>
      <c r="H488" s="90"/>
      <c r="I488" s="90"/>
      <c r="J488" s="90"/>
    </row>
    <row r="489" spans="1:10">
      <c r="A489" s="90"/>
      <c r="B489" s="90"/>
      <c r="C489" s="90"/>
      <c r="D489" s="90"/>
      <c r="E489" s="90"/>
      <c r="F489" s="90"/>
      <c r="G489" s="90"/>
      <c r="H489" s="90"/>
      <c r="I489" s="90"/>
      <c r="J489" s="90"/>
    </row>
    <row r="490" spans="1:10">
      <c r="A490" s="90"/>
      <c r="B490" s="90"/>
      <c r="C490" s="90"/>
      <c r="D490" s="90"/>
      <c r="E490" s="90"/>
      <c r="F490" s="90"/>
      <c r="G490" s="90"/>
      <c r="H490" s="90"/>
      <c r="I490" s="90"/>
      <c r="J490" s="90"/>
    </row>
    <row r="491" spans="1:10">
      <c r="A491" s="90"/>
      <c r="B491" s="90"/>
      <c r="C491" s="90"/>
      <c r="D491" s="90"/>
      <c r="E491" s="90"/>
      <c r="F491" s="90"/>
      <c r="G491" s="90"/>
      <c r="H491" s="90"/>
      <c r="I491" s="90"/>
      <c r="J491" s="90"/>
    </row>
    <row r="492" spans="1:10">
      <c r="A492" s="90"/>
      <c r="B492" s="90"/>
      <c r="C492" s="90"/>
      <c r="D492" s="90"/>
      <c r="E492" s="90"/>
      <c r="F492" s="90"/>
      <c r="G492" s="90"/>
      <c r="H492" s="90"/>
      <c r="I492" s="90"/>
      <c r="J492" s="90"/>
    </row>
    <row r="493" spans="1:10">
      <c r="A493" s="90"/>
      <c r="B493" s="90"/>
      <c r="C493" s="90"/>
      <c r="D493" s="90"/>
      <c r="E493" s="90"/>
      <c r="F493" s="90"/>
      <c r="G493" s="90"/>
      <c r="H493" s="90"/>
      <c r="I493" s="90"/>
      <c r="J493" s="90"/>
    </row>
    <row r="494" spans="1:10">
      <c r="A494" s="90"/>
      <c r="B494" s="90"/>
      <c r="C494" s="90"/>
      <c r="D494" s="90"/>
      <c r="E494" s="90"/>
      <c r="F494" s="90"/>
      <c r="G494" s="90"/>
      <c r="H494" s="90"/>
      <c r="I494" s="90"/>
      <c r="J494" s="90"/>
    </row>
    <row r="495" spans="1:10">
      <c r="A495" s="90"/>
      <c r="B495" s="90"/>
      <c r="C495" s="90"/>
      <c r="D495" s="90"/>
      <c r="E495" s="90"/>
      <c r="F495" s="90"/>
      <c r="G495" s="90"/>
      <c r="H495" s="90"/>
      <c r="I495" s="90"/>
      <c r="J495" s="90"/>
    </row>
    <row r="496" spans="1:10">
      <c r="A496" s="90"/>
      <c r="B496" s="90"/>
      <c r="C496" s="90"/>
      <c r="D496" s="90"/>
      <c r="E496" s="90"/>
      <c r="F496" s="90"/>
      <c r="G496" s="90"/>
      <c r="H496" s="90"/>
      <c r="I496" s="90"/>
      <c r="J496" s="90"/>
    </row>
    <row r="497" spans="1:10">
      <c r="A497" s="90"/>
      <c r="B497" s="90"/>
      <c r="C497" s="90"/>
      <c r="D497" s="90"/>
      <c r="E497" s="90"/>
      <c r="F497" s="90"/>
      <c r="G497" s="90"/>
      <c r="H497" s="90"/>
      <c r="I497" s="90"/>
      <c r="J497" s="90"/>
    </row>
    <row r="498" spans="1:10">
      <c r="A498" s="90"/>
      <c r="B498" s="90"/>
      <c r="C498" s="90"/>
      <c r="D498" s="90"/>
      <c r="E498" s="90"/>
      <c r="F498" s="90"/>
      <c r="G498" s="90"/>
      <c r="H498" s="90"/>
      <c r="I498" s="90"/>
      <c r="J498" s="90"/>
    </row>
    <row r="499" spans="1:10">
      <c r="A499" s="90"/>
      <c r="B499" s="90"/>
      <c r="C499" s="90"/>
      <c r="D499" s="90"/>
      <c r="E499" s="90"/>
      <c r="F499" s="90"/>
      <c r="G499" s="90"/>
      <c r="H499" s="90"/>
      <c r="I499" s="90"/>
      <c r="J499" s="90"/>
    </row>
    <row r="500" spans="1:10">
      <c r="A500" s="90"/>
      <c r="B500" s="90"/>
      <c r="C500" s="90"/>
      <c r="D500" s="90"/>
      <c r="E500" s="90"/>
      <c r="F500" s="90"/>
      <c r="G500" s="90"/>
      <c r="H500" s="90"/>
      <c r="I500" s="90"/>
      <c r="J500" s="90"/>
    </row>
    <row r="501" spans="1:10">
      <c r="A501" s="90"/>
      <c r="B501" s="90"/>
      <c r="C501" s="90"/>
      <c r="D501" s="90"/>
      <c r="E501" s="90"/>
      <c r="F501" s="90"/>
      <c r="G501" s="90"/>
      <c r="H501" s="90"/>
      <c r="I501" s="90"/>
      <c r="J501" s="90"/>
    </row>
    <row r="502" spans="1:10">
      <c r="A502" s="90"/>
      <c r="B502" s="90"/>
      <c r="C502" s="90"/>
      <c r="D502" s="90"/>
      <c r="E502" s="90"/>
      <c r="F502" s="90"/>
      <c r="G502" s="90"/>
      <c r="H502" s="90"/>
      <c r="I502" s="90"/>
      <c r="J502" s="90"/>
    </row>
    <row r="503" spans="1:10">
      <c r="A503" s="90"/>
      <c r="B503" s="90"/>
      <c r="C503" s="90"/>
      <c r="D503" s="90"/>
      <c r="E503" s="90"/>
      <c r="F503" s="90"/>
      <c r="G503" s="90"/>
      <c r="H503" s="90"/>
      <c r="I503" s="90"/>
      <c r="J503" s="90"/>
    </row>
    <row r="504" spans="1:10">
      <c r="A504" s="90"/>
      <c r="B504" s="90"/>
      <c r="C504" s="90"/>
      <c r="D504" s="90"/>
      <c r="E504" s="90"/>
      <c r="F504" s="90"/>
      <c r="G504" s="90"/>
      <c r="H504" s="90"/>
      <c r="I504" s="90"/>
      <c r="J504" s="90"/>
    </row>
    <row r="505" spans="1:10">
      <c r="A505" s="90"/>
      <c r="B505" s="90"/>
      <c r="C505" s="90"/>
      <c r="D505" s="90"/>
      <c r="E505" s="90"/>
      <c r="F505" s="90"/>
      <c r="G505" s="90"/>
      <c r="H505" s="90"/>
      <c r="I505" s="90"/>
      <c r="J505" s="90"/>
    </row>
    <row r="506" spans="1:10">
      <c r="A506" s="90"/>
      <c r="B506" s="90"/>
      <c r="C506" s="90"/>
      <c r="D506" s="90"/>
      <c r="E506" s="90"/>
      <c r="F506" s="90"/>
      <c r="G506" s="90"/>
      <c r="H506" s="90"/>
      <c r="I506" s="90"/>
      <c r="J506" s="90"/>
    </row>
    <row r="507" spans="1:10">
      <c r="A507" s="90"/>
      <c r="B507" s="90"/>
      <c r="C507" s="90"/>
      <c r="D507" s="90"/>
      <c r="E507" s="90"/>
      <c r="F507" s="90"/>
      <c r="G507" s="90"/>
      <c r="H507" s="90"/>
      <c r="I507" s="90"/>
      <c r="J507" s="90"/>
    </row>
    <row r="508" spans="1:10">
      <c r="A508" s="90"/>
      <c r="B508" s="90"/>
      <c r="C508" s="90"/>
      <c r="D508" s="90"/>
      <c r="E508" s="90"/>
      <c r="F508" s="90"/>
      <c r="G508" s="90"/>
      <c r="H508" s="90"/>
      <c r="I508" s="90"/>
      <c r="J508" s="90"/>
    </row>
    <row r="509" spans="1:10">
      <c r="A509" s="90"/>
      <c r="B509" s="90"/>
      <c r="C509" s="90"/>
      <c r="D509" s="90"/>
      <c r="E509" s="90"/>
      <c r="F509" s="90"/>
      <c r="G509" s="90"/>
      <c r="H509" s="90"/>
      <c r="I509" s="90"/>
      <c r="J509" s="90"/>
    </row>
    <row r="510" spans="1:10">
      <c r="A510" s="90"/>
      <c r="B510" s="90"/>
      <c r="C510" s="90"/>
      <c r="D510" s="90"/>
      <c r="E510" s="90"/>
      <c r="F510" s="90"/>
      <c r="G510" s="90"/>
      <c r="H510" s="90"/>
      <c r="I510" s="90"/>
      <c r="J510" s="90"/>
    </row>
    <row r="511" spans="1:10">
      <c r="A511" s="90"/>
      <c r="B511" s="90"/>
      <c r="C511" s="90"/>
      <c r="D511" s="90"/>
      <c r="E511" s="90"/>
      <c r="F511" s="90"/>
      <c r="G511" s="90"/>
      <c r="H511" s="90"/>
      <c r="I511" s="90"/>
      <c r="J511" s="90"/>
    </row>
    <row r="512" spans="1:10">
      <c r="A512" s="90"/>
      <c r="B512" s="90"/>
      <c r="C512" s="90"/>
      <c r="D512" s="90"/>
      <c r="E512" s="90"/>
      <c r="F512" s="90"/>
      <c r="G512" s="90"/>
      <c r="H512" s="90"/>
      <c r="I512" s="90"/>
      <c r="J512" s="90"/>
    </row>
    <row r="513" spans="1:10">
      <c r="A513" s="90"/>
      <c r="B513" s="90"/>
      <c r="C513" s="90"/>
      <c r="D513" s="90"/>
      <c r="E513" s="90"/>
      <c r="F513" s="90"/>
      <c r="G513" s="90"/>
      <c r="H513" s="90"/>
      <c r="I513" s="90"/>
      <c r="J513" s="90"/>
    </row>
    <row r="514" spans="1:10">
      <c r="A514" s="90"/>
      <c r="B514" s="90"/>
      <c r="C514" s="90"/>
      <c r="D514" s="90"/>
      <c r="E514" s="90"/>
      <c r="F514" s="90"/>
      <c r="G514" s="90"/>
      <c r="H514" s="90"/>
      <c r="I514" s="90"/>
      <c r="J514" s="90"/>
    </row>
    <row r="515" spans="1:10">
      <c r="A515" s="90"/>
      <c r="B515" s="90"/>
      <c r="C515" s="90"/>
      <c r="D515" s="90"/>
      <c r="E515" s="90"/>
      <c r="F515" s="90"/>
      <c r="G515" s="90"/>
      <c r="H515" s="90"/>
      <c r="I515" s="90"/>
      <c r="J515" s="90"/>
    </row>
    <row r="516" spans="1:10">
      <c r="A516" s="90"/>
      <c r="B516" s="90"/>
      <c r="C516" s="90"/>
      <c r="D516" s="90"/>
      <c r="E516" s="90"/>
      <c r="F516" s="90"/>
      <c r="G516" s="90"/>
      <c r="H516" s="90"/>
      <c r="I516" s="90"/>
      <c r="J516" s="90"/>
    </row>
    <row r="517" spans="1:10">
      <c r="A517" s="90"/>
      <c r="B517" s="90"/>
      <c r="C517" s="90"/>
      <c r="D517" s="90"/>
      <c r="E517" s="90"/>
      <c r="F517" s="90"/>
      <c r="G517" s="90"/>
      <c r="H517" s="90"/>
      <c r="I517" s="90"/>
      <c r="J517" s="90"/>
    </row>
    <row r="518" spans="1:10">
      <c r="A518" s="90"/>
      <c r="B518" s="90"/>
      <c r="C518" s="90"/>
      <c r="D518" s="90"/>
      <c r="E518" s="90"/>
      <c r="F518" s="90"/>
      <c r="G518" s="90"/>
      <c r="H518" s="90"/>
      <c r="I518" s="90"/>
      <c r="J518" s="90"/>
    </row>
    <row r="519" spans="1:10">
      <c r="A519" s="90"/>
      <c r="B519" s="90"/>
      <c r="C519" s="90"/>
      <c r="D519" s="90"/>
      <c r="E519" s="90"/>
      <c r="F519" s="90"/>
      <c r="G519" s="90"/>
      <c r="H519" s="90"/>
      <c r="I519" s="90"/>
      <c r="J519" s="90"/>
    </row>
    <row r="520" spans="1:10">
      <c r="A520" s="90"/>
      <c r="B520" s="90"/>
      <c r="C520" s="90"/>
      <c r="D520" s="90"/>
      <c r="E520" s="90"/>
      <c r="F520" s="90"/>
      <c r="G520" s="90"/>
      <c r="H520" s="90"/>
      <c r="I520" s="90"/>
      <c r="J520" s="90"/>
    </row>
    <row r="521" spans="1:10">
      <c r="A521" s="90"/>
      <c r="B521" s="90"/>
      <c r="C521" s="90"/>
      <c r="D521" s="90"/>
      <c r="E521" s="90"/>
      <c r="F521" s="90"/>
      <c r="G521" s="90"/>
      <c r="H521" s="90"/>
      <c r="I521" s="90"/>
      <c r="J521" s="90"/>
    </row>
    <row r="522" spans="1:10">
      <c r="A522" s="90"/>
      <c r="B522" s="90"/>
      <c r="C522" s="90"/>
      <c r="D522" s="90"/>
      <c r="E522" s="90"/>
      <c r="F522" s="90"/>
      <c r="G522" s="90"/>
      <c r="H522" s="90"/>
      <c r="I522" s="90"/>
      <c r="J522" s="90"/>
    </row>
    <row r="523" spans="1:10">
      <c r="A523" s="90"/>
      <c r="B523" s="90"/>
      <c r="C523" s="90"/>
      <c r="D523" s="90"/>
      <c r="E523" s="90"/>
      <c r="F523" s="90"/>
      <c r="G523" s="90"/>
      <c r="H523" s="90"/>
      <c r="I523" s="90"/>
      <c r="J523" s="90"/>
    </row>
    <row r="524" spans="1:10">
      <c r="A524" s="90"/>
      <c r="B524" s="90"/>
      <c r="C524" s="90"/>
      <c r="D524" s="90"/>
      <c r="E524" s="90"/>
      <c r="F524" s="90"/>
      <c r="G524" s="90"/>
      <c r="H524" s="90"/>
      <c r="I524" s="90"/>
      <c r="J524" s="90"/>
    </row>
    <row r="525" spans="1:10">
      <c r="A525" s="90"/>
      <c r="B525" s="90"/>
      <c r="C525" s="90"/>
      <c r="D525" s="90"/>
      <c r="E525" s="90"/>
      <c r="F525" s="90"/>
      <c r="G525" s="90"/>
      <c r="H525" s="90"/>
      <c r="I525" s="90"/>
      <c r="J525" s="90"/>
    </row>
    <row r="526" spans="1:10">
      <c r="A526" s="90"/>
      <c r="B526" s="90"/>
      <c r="C526" s="90"/>
      <c r="D526" s="90"/>
      <c r="E526" s="90"/>
      <c r="F526" s="90"/>
      <c r="G526" s="90"/>
      <c r="H526" s="90"/>
      <c r="I526" s="90"/>
      <c r="J526" s="90"/>
    </row>
    <row r="527" spans="1:10">
      <c r="A527" s="90"/>
      <c r="B527" s="90"/>
      <c r="C527" s="90"/>
      <c r="D527" s="90"/>
      <c r="E527" s="90"/>
      <c r="F527" s="90"/>
      <c r="G527" s="90"/>
      <c r="H527" s="90"/>
      <c r="I527" s="90"/>
      <c r="J527" s="90"/>
    </row>
    <row r="528" spans="1:10">
      <c r="A528" s="90"/>
      <c r="B528" s="90"/>
      <c r="C528" s="90"/>
      <c r="D528" s="90"/>
      <c r="E528" s="90"/>
      <c r="F528" s="90"/>
      <c r="G528" s="90"/>
      <c r="H528" s="90"/>
      <c r="I528" s="90"/>
      <c r="J528" s="90"/>
    </row>
    <row r="529" spans="1:10">
      <c r="A529" s="90"/>
      <c r="B529" s="90"/>
      <c r="C529" s="90"/>
      <c r="D529" s="90"/>
      <c r="E529" s="90"/>
      <c r="F529" s="90"/>
      <c r="G529" s="90"/>
      <c r="H529" s="90"/>
      <c r="I529" s="90"/>
      <c r="J529" s="90"/>
    </row>
    <row r="530" spans="1:10">
      <c r="A530" s="90"/>
      <c r="B530" s="90"/>
      <c r="C530" s="90"/>
      <c r="D530" s="90"/>
      <c r="E530" s="90"/>
      <c r="F530" s="90"/>
      <c r="G530" s="90"/>
      <c r="H530" s="90"/>
      <c r="I530" s="90"/>
      <c r="J530" s="90"/>
    </row>
    <row r="531" spans="1:10">
      <c r="A531" s="90"/>
      <c r="B531" s="90"/>
      <c r="C531" s="90"/>
      <c r="D531" s="90"/>
      <c r="E531" s="90"/>
      <c r="F531" s="90"/>
      <c r="G531" s="90"/>
      <c r="H531" s="90"/>
      <c r="I531" s="90"/>
      <c r="J531" s="90"/>
    </row>
    <row r="532" spans="1:10">
      <c r="A532" s="90"/>
      <c r="B532" s="90"/>
      <c r="C532" s="90"/>
      <c r="D532" s="90"/>
      <c r="E532" s="90"/>
      <c r="F532" s="90"/>
      <c r="G532" s="90"/>
      <c r="H532" s="90"/>
      <c r="I532" s="90"/>
      <c r="J532" s="90"/>
    </row>
    <row r="533" spans="1:10">
      <c r="A533" s="90"/>
      <c r="B533" s="90"/>
      <c r="C533" s="90"/>
      <c r="D533" s="90"/>
      <c r="E533" s="90"/>
      <c r="F533" s="90"/>
      <c r="G533" s="90"/>
      <c r="H533" s="90"/>
      <c r="I533" s="90"/>
      <c r="J533" s="90"/>
    </row>
    <row r="534" spans="1:10">
      <c r="A534" s="90"/>
      <c r="B534" s="90"/>
      <c r="C534" s="90"/>
      <c r="D534" s="90"/>
      <c r="E534" s="90"/>
      <c r="F534" s="90"/>
      <c r="G534" s="90"/>
      <c r="H534" s="90"/>
      <c r="I534" s="90"/>
      <c r="J534" s="90"/>
    </row>
    <row r="535" spans="1:10">
      <c r="A535" s="90"/>
      <c r="B535" s="90"/>
      <c r="C535" s="90"/>
      <c r="D535" s="90"/>
      <c r="E535" s="90"/>
      <c r="F535" s="90"/>
      <c r="G535" s="90"/>
      <c r="H535" s="90"/>
      <c r="I535" s="90"/>
      <c r="J535" s="90"/>
    </row>
    <row r="536" spans="1:10">
      <c r="A536" s="90"/>
      <c r="B536" s="90"/>
      <c r="C536" s="90"/>
      <c r="D536" s="90"/>
      <c r="E536" s="90"/>
      <c r="F536" s="90"/>
      <c r="G536" s="90"/>
      <c r="H536" s="90"/>
      <c r="I536" s="90"/>
      <c r="J536" s="90"/>
    </row>
    <row r="537" spans="1:10">
      <c r="A537" s="90"/>
      <c r="B537" s="90"/>
      <c r="C537" s="90"/>
      <c r="D537" s="90"/>
      <c r="E537" s="90"/>
      <c r="F537" s="90"/>
      <c r="G537" s="90"/>
      <c r="H537" s="90"/>
      <c r="I537" s="90"/>
      <c r="J537" s="90"/>
    </row>
    <row r="538" spans="1:10">
      <c r="A538" s="90"/>
      <c r="B538" s="90"/>
      <c r="C538" s="90"/>
      <c r="D538" s="90"/>
      <c r="E538" s="90"/>
      <c r="F538" s="90"/>
      <c r="G538" s="90"/>
      <c r="H538" s="90"/>
      <c r="I538" s="90"/>
      <c r="J538" s="90"/>
    </row>
    <row r="539" spans="1:10">
      <c r="A539" s="90"/>
      <c r="B539" s="90"/>
      <c r="C539" s="90"/>
      <c r="D539" s="90"/>
      <c r="E539" s="90"/>
      <c r="F539" s="90"/>
      <c r="G539" s="90"/>
      <c r="H539" s="90"/>
      <c r="I539" s="90"/>
      <c r="J539" s="90"/>
    </row>
    <row r="540" spans="1:10">
      <c r="A540" s="90"/>
      <c r="B540" s="90"/>
      <c r="C540" s="90"/>
      <c r="D540" s="90"/>
      <c r="E540" s="90"/>
      <c r="F540" s="90"/>
      <c r="G540" s="90"/>
      <c r="H540" s="90"/>
      <c r="I540" s="90"/>
      <c r="J540" s="90"/>
    </row>
    <row r="541" spans="1:10">
      <c r="A541" s="90"/>
      <c r="B541" s="90"/>
      <c r="C541" s="90"/>
      <c r="D541" s="90"/>
      <c r="E541" s="90"/>
      <c r="F541" s="90"/>
      <c r="G541" s="90"/>
      <c r="H541" s="90"/>
      <c r="I541" s="90"/>
      <c r="J541" s="90"/>
    </row>
    <row r="542" spans="1:10">
      <c r="A542" s="90"/>
      <c r="B542" s="90"/>
      <c r="C542" s="90"/>
      <c r="D542" s="90"/>
      <c r="E542" s="90"/>
      <c r="F542" s="90"/>
      <c r="G542" s="90"/>
      <c r="H542" s="90"/>
      <c r="I542" s="90"/>
      <c r="J542" s="90"/>
    </row>
    <row r="543" spans="1:10">
      <c r="A543" s="90"/>
      <c r="B543" s="90"/>
      <c r="C543" s="90"/>
      <c r="D543" s="90"/>
      <c r="E543" s="90"/>
      <c r="F543" s="90"/>
      <c r="G543" s="90"/>
      <c r="H543" s="90"/>
      <c r="I543" s="90"/>
      <c r="J543" s="90"/>
    </row>
    <row r="544" spans="1:10">
      <c r="A544" s="90"/>
      <c r="B544" s="90"/>
      <c r="C544" s="90"/>
      <c r="D544" s="90"/>
      <c r="E544" s="90"/>
      <c r="F544" s="90"/>
      <c r="G544" s="90"/>
      <c r="H544" s="90"/>
      <c r="I544" s="90"/>
      <c r="J544" s="90"/>
    </row>
    <row r="545" spans="1:10">
      <c r="A545" s="90"/>
      <c r="B545" s="90"/>
      <c r="C545" s="90"/>
      <c r="D545" s="90"/>
      <c r="E545" s="90"/>
      <c r="F545" s="90"/>
      <c r="G545" s="90"/>
      <c r="H545" s="90"/>
      <c r="I545" s="90"/>
      <c r="J545" s="90"/>
    </row>
    <row r="546" spans="1:10">
      <c r="A546" s="90"/>
      <c r="B546" s="90"/>
      <c r="C546" s="90"/>
      <c r="D546" s="90"/>
      <c r="E546" s="90"/>
      <c r="F546" s="90"/>
      <c r="G546" s="90"/>
      <c r="H546" s="90"/>
      <c r="I546" s="90"/>
      <c r="J546" s="90"/>
    </row>
    <row r="547" spans="1:10">
      <c r="A547" s="90"/>
      <c r="B547" s="90"/>
      <c r="C547" s="90"/>
      <c r="D547" s="90"/>
      <c r="E547" s="90"/>
      <c r="F547" s="90"/>
      <c r="G547" s="90"/>
      <c r="H547" s="90"/>
      <c r="I547" s="90"/>
      <c r="J547" s="90"/>
    </row>
    <row r="548" spans="1:10">
      <c r="A548" s="90"/>
      <c r="B548" s="90"/>
      <c r="C548" s="90"/>
      <c r="D548" s="90"/>
      <c r="E548" s="90"/>
      <c r="F548" s="90"/>
      <c r="G548" s="90"/>
      <c r="H548" s="90"/>
      <c r="I548" s="90"/>
      <c r="J548" s="90"/>
    </row>
    <row r="549" spans="1:10">
      <c r="A549" s="90"/>
      <c r="B549" s="90"/>
      <c r="C549" s="90"/>
      <c r="D549" s="90"/>
      <c r="E549" s="90"/>
      <c r="F549" s="90"/>
      <c r="G549" s="90"/>
      <c r="H549" s="90"/>
      <c r="I549" s="90"/>
      <c r="J549" s="90"/>
    </row>
    <row r="550" spans="1:10">
      <c r="A550" s="90"/>
      <c r="B550" s="90"/>
      <c r="C550" s="90"/>
      <c r="D550" s="90"/>
      <c r="E550" s="90"/>
      <c r="F550" s="90"/>
      <c r="G550" s="90"/>
      <c r="H550" s="90"/>
      <c r="I550" s="90"/>
      <c r="J550" s="90"/>
    </row>
    <row r="551" spans="1:10">
      <c r="A551" s="90"/>
      <c r="B551" s="90"/>
      <c r="C551" s="90"/>
      <c r="D551" s="90"/>
      <c r="E551" s="90"/>
      <c r="F551" s="90"/>
      <c r="G551" s="90"/>
      <c r="H551" s="90"/>
      <c r="I551" s="90"/>
      <c r="J551" s="90"/>
    </row>
    <row r="552" spans="1:10">
      <c r="A552" s="90"/>
      <c r="B552" s="90"/>
      <c r="C552" s="90"/>
      <c r="D552" s="90"/>
      <c r="E552" s="90"/>
      <c r="F552" s="90"/>
      <c r="G552" s="90"/>
      <c r="H552" s="90"/>
      <c r="I552" s="90"/>
      <c r="J552" s="90"/>
    </row>
    <row r="553" spans="1:10">
      <c r="A553" s="90"/>
      <c r="B553" s="90"/>
      <c r="C553" s="90"/>
      <c r="D553" s="90"/>
      <c r="E553" s="90"/>
      <c r="F553" s="90"/>
      <c r="G553" s="90"/>
      <c r="H553" s="90"/>
      <c r="I553" s="90"/>
      <c r="J553" s="90"/>
    </row>
  </sheetData>
  <autoFilter ref="A3:I59" xr:uid="{217D94FF-A7F4-47AF-8149-F5F5E5C96937}"/>
  <mergeCells count="1">
    <mergeCell ref="A1:J2"/>
  </mergeCells>
  <hyperlinks>
    <hyperlink ref="A4" location="'مقبل ناجي عوض العلوني'!A1" display="'مقبل ناجي عوض العلوني'!A1" xr:uid="{C2C211FB-94D8-4B85-9D10-AF39D9FA2D4F}"/>
    <hyperlink ref="A5" location="'رائد الحسيني'!A1" display="'رائد الحسيني'!A1" xr:uid="{BFC57CFB-977E-44FD-8077-994757BEA0B1}"/>
    <hyperlink ref="A6" location="'فايز رابح الشاماني'!A1" display="'فايز رابح الشاماني'!A1" xr:uid="{19D0B6B7-2582-40B3-BEFB-D972344F0044}"/>
    <hyperlink ref="A7" location="'مرام الصاعدي'!A1" display="'مرام الصاعدي'!A1" xr:uid="{2AA3A1AE-8CB2-4991-A938-D3829E2BCB35}"/>
    <hyperlink ref="A8" location="'بدرية الصاعدي'!A1" display="'بدرية الصاعدي'!A1" xr:uid="{C085D380-9E45-4348-BB3B-BF75F5305CFA}"/>
    <hyperlink ref="A9" location="'روان مسعد'!A1" display="'روان مسعد'!A1" xr:uid="{998DE563-2D1D-481A-9EDC-63DC8739BF51}"/>
    <hyperlink ref="A10" location="'اميره +نسرين الصاعدي'!A1" display="'اميره +نسرين الصاعدي'!A1" xr:uid="{6054E6AD-D53E-4588-B459-AD3A1211BF81}"/>
    <hyperlink ref="A11" location="'نوال حمدان'!A1" display="'نوال حمدان'!A1" xr:uid="{664F3D0E-BE47-4050-95A5-F567DE615423}"/>
    <hyperlink ref="A12" location="' وليد نافع العوفي'!A1" display="' وليد نافع العوفي'!A1" xr:uid="{838A06EC-3A21-4434-B306-16A2F226FDCA}"/>
    <hyperlink ref="A13" location="'فهد الاحمدي'!A1" display="'فهد الاحمدي'!A1" xr:uid="{1210CFC4-4E84-4F1C-93A0-117084B3E65A}"/>
    <hyperlink ref="A14" location="'نوف عبيدالله مبارك العوفي '!A1" display="'نوف عبيدالله مبارك العوفي '!A1" xr:uid="{A24AB45C-6FCE-41EA-B520-A8992CF97C02}"/>
    <hyperlink ref="A15" location="'ايلان العوفي '!A1" display="'ايلان العوفي '!A1" xr:uid="{811B6AF4-E026-473D-A7A8-FFB102DFADFD}"/>
    <hyperlink ref="A16" location="'عبدالوهاب سليم'!A1" display="'عبدالوهاب سليم'!A1" xr:uid="{AB7BA2EE-2C15-426E-AFC7-AE0AF29A1735}"/>
    <hyperlink ref="A17" location="'سلطان عواد الدبيسي'!A1" display="'سلطان عواد الدبيسي'!A1" xr:uid="{E040E903-0A7C-44B1-92EB-336839A4A174}"/>
    <hyperlink ref="A18" location="'لانا العوفي'!A1" display="'لانا العوفي'!A1" xr:uid="{50B8899E-5E77-4890-8B83-1557A2F677EE}"/>
    <hyperlink ref="A19" location="' مريم مسعد الصاعدي'!A1" display="' مريم مسعد الصاعدي'!A1" xr:uid="{97504213-7F56-4CEC-AA4C-CFF2615913DC}"/>
    <hyperlink ref="A20" location="'فهد الغامدي'!A1" display="'فهد الغامدي'!A1" xr:uid="{19797023-CFF1-414D-857C-90A9050FCCB1}"/>
    <hyperlink ref="A21" location="'ام يوسف'!A1" display="'ام يوسف'!A1" xr:uid="{E460D7AA-C8DB-4F22-9D83-AAA340FEC992}"/>
    <hyperlink ref="A22" location="'ام عبدالرحمن'!A1" display="'ام عبدالرحمن'!A1" xr:uid="{75BB61F8-98B3-4C4E-B6CF-B4D606F36A49}"/>
    <hyperlink ref="A23" location="'سامي عبيد الله العوفي'!A1" display="'سامي عبيد الله العوفي'!A1" xr:uid="{729A1FA6-3F23-4FBE-94E9-CC1314E7F6CA}"/>
    <hyperlink ref="A24" location="'نادر سليم الرشيدي '!A1" display="'نادر سليم الرشيدي '!A1" xr:uid="{6EE780D6-690E-48B7-BB29-E0DB97891585}"/>
    <hyperlink ref="A25" location="' فهد منيف الحربي'!A1" display="' فهد منيف الحربي'!A1" xr:uid="{5F40E5F4-0AE4-4014-A07C-48FBB93DB9D5}"/>
    <hyperlink ref="A26" location="' بدور عبيد الله العوفي '!A1" display="' بدور عبيد الله العوفي '!A1" xr:uid="{DAF25F5A-EF91-455E-A29E-4349B329C2C7}"/>
    <hyperlink ref="A27" location="'عبدالرحمن محمد خضر الصاعدي'!A1" display="'عبدالرحمن محمد خضر الصاعدي'!A1" xr:uid="{7CB86973-411B-4713-9B6F-5D1E44E68ABE}"/>
    <hyperlink ref="A28" location="' سعيد سلطان الشهراني'!A1" display="' سعيد سلطان الشهراني'!A1" xr:uid="{C15A1DF7-66EB-4A6A-87A2-491A7A373901}"/>
    <hyperlink ref="A29" location="'غازي ناير الجهني'!A1" display="'غازي ناير الجهني'!A1" xr:uid="{FD4B66B1-D178-44CF-8B34-AF86F91C98EF}"/>
    <hyperlink ref="A30" location="'غيث العوفي'!A1" display="'غيث العوفي'!A1" xr:uid="{EECA3DCF-C2B8-41BC-A389-378198D69C35}"/>
    <hyperlink ref="A31" location="'غلا العوفي'!A1" display="'غلا العوفي'!A1" xr:uid="{7EBE6AF7-14E5-44FC-94BE-B3804B50307E}"/>
    <hyperlink ref="A32" location="'حنان حمدان'!A1" display="'حنان حمدان'!A1" xr:uid="{F1EBE8A8-C976-4560-9A7D-990EDA11900E}"/>
    <hyperlink ref="A33" location="'ابو غلا + أبو لانا'!A1" display="'ابو غلا + أبو لانا'!A1" xr:uid="{1EE58A1C-817B-4F5E-B714-D5CDA55C30D7}"/>
    <hyperlink ref="A34" location="'عبيدالله مبارك العوفي-احمد'!A1" display="'عبيدالله مبارك العوفي-احمد'!A1" xr:uid="{62833945-54DE-4EFD-9C30-4114E8AD8882}"/>
    <hyperlink ref="A35" location="'احمد الشاماني'!A1" display="'احمد الشاماني'!A1" xr:uid="{5CB7639B-CA1C-4228-96C2-D2303729FC22}"/>
    <hyperlink ref="A36" location="'عبدالرحمن حمدان العوفي'!A1" display="'عبدالرحمن حمدان العوفي'!A1" xr:uid="{41AA56E1-FD02-488E-8D70-A2E28079838C}"/>
    <hyperlink ref="A37" location="'رايد حمدان العلوني الجهني'!A1" display="'رايد حمدان العلوني الجهني'!A1" xr:uid="{C623EC35-4BE8-44A4-A82F-360427BF0454}"/>
    <hyperlink ref="A38" location="'ماطر ناير راشد العلواني الجهني'!A1" display="'ماطر ناير راشد العلواني الجهني'!A1" xr:uid="{60816884-71FE-4BFA-89C6-54A6F66C8832}"/>
    <hyperlink ref="A39" location="'ملك عبدالرحمن العوفى'!A1" display="'ملك عبدالرحمن العوفى'!A1" xr:uid="{E8F6A1B6-DB44-4E13-9FA6-E8B0D91ECD0F}"/>
  </hyperlinks>
  <pageMargins left="0.70866141732283472" right="0.70866141732283472" top="0.74803149606299213" bottom="0.74803149606299213" header="0.31496062992125984" footer="0.31496062992125984"/>
  <pageSetup paperSize="9" scale="1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62C9-BD92-48B2-BFCA-3CD29D2057AD}">
  <sheetPr>
    <tabColor rgb="FFFF0000"/>
  </sheetPr>
  <dimension ref="A1:AI31"/>
  <sheetViews>
    <sheetView rightToLeft="1" topLeftCell="X1" zoomScale="125" workbookViewId="0">
      <selection activeCell="AD13" sqref="AD13:AF13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0.87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375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1.125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18" customWidth="1"/>
    <col min="21" max="21" width="12.625" customWidth="1"/>
    <col min="22" max="22" width="16.625" customWidth="1"/>
    <col min="23" max="23" width="13.375" customWidth="1"/>
    <col min="24" max="24" width="1.5" customWidth="1"/>
    <col min="25" max="25" width="18" customWidth="1"/>
    <col min="26" max="26" width="12.625" customWidth="1"/>
    <col min="27" max="27" width="16.625" customWidth="1"/>
    <col min="28" max="28" width="13.375" customWidth="1"/>
    <col min="29" max="29" width="0.875" customWidth="1"/>
    <col min="30" max="30" width="18" customWidth="1"/>
    <col min="31" max="31" width="12.625" customWidth="1"/>
    <col min="32" max="32" width="54" customWidth="1"/>
    <col min="33" max="33" width="15.125" customWidth="1"/>
    <col min="34" max="34" width="9" bestFit="1" customWidth="1"/>
    <col min="35" max="35" width="9.375" bestFit="1" customWidth="1"/>
  </cols>
  <sheetData>
    <row r="1" spans="1:33" ht="18" thickBot="1">
      <c r="A1" s="135" t="s">
        <v>126</v>
      </c>
      <c r="B1" s="135"/>
      <c r="C1" s="135"/>
      <c r="D1" s="135"/>
      <c r="F1" s="135" t="s">
        <v>126</v>
      </c>
      <c r="G1" s="135"/>
      <c r="H1" s="135"/>
      <c r="I1" s="135"/>
      <c r="K1" s="135" t="s">
        <v>126</v>
      </c>
      <c r="L1" s="135"/>
      <c r="M1" s="135"/>
      <c r="N1" s="135"/>
      <c r="P1" s="135" t="s">
        <v>126</v>
      </c>
      <c r="Q1" s="135"/>
      <c r="R1" s="135"/>
      <c r="S1" s="135"/>
      <c r="T1" s="135" t="s">
        <v>182</v>
      </c>
      <c r="U1" s="135"/>
      <c r="V1" s="135"/>
      <c r="W1" s="135"/>
      <c r="Y1" s="135" t="s">
        <v>182</v>
      </c>
      <c r="Z1" s="135"/>
      <c r="AA1" s="135"/>
      <c r="AB1" s="135"/>
      <c r="AD1" s="135" t="s">
        <v>126</v>
      </c>
      <c r="AE1" s="135"/>
      <c r="AF1" s="135"/>
      <c r="AG1" s="135"/>
    </row>
    <row r="2" spans="1:33" ht="21" customHeight="1" thickBot="1">
      <c r="A2" s="136" t="s">
        <v>1</v>
      </c>
      <c r="B2" s="136"/>
      <c r="C2" s="137" t="s">
        <v>27</v>
      </c>
      <c r="D2" s="137"/>
      <c r="F2" s="136" t="s">
        <v>1</v>
      </c>
      <c r="G2" s="136"/>
      <c r="H2" s="137" t="s">
        <v>27</v>
      </c>
      <c r="I2" s="137"/>
      <c r="K2" s="136" t="s">
        <v>1</v>
      </c>
      <c r="L2" s="136"/>
      <c r="M2" s="137" t="s">
        <v>27</v>
      </c>
      <c r="N2" s="137"/>
      <c r="P2" s="136" t="s">
        <v>1</v>
      </c>
      <c r="Q2" s="136"/>
      <c r="R2" s="137" t="s">
        <v>79</v>
      </c>
      <c r="S2" s="137"/>
      <c r="T2" s="136" t="s">
        <v>1</v>
      </c>
      <c r="U2" s="136"/>
      <c r="V2" s="137" t="s">
        <v>35</v>
      </c>
      <c r="W2" s="137"/>
      <c r="Y2" s="136" t="s">
        <v>1</v>
      </c>
      <c r="Z2" s="136"/>
      <c r="AA2" s="137" t="s">
        <v>35</v>
      </c>
      <c r="AB2" s="137"/>
      <c r="AD2" s="136" t="s">
        <v>1</v>
      </c>
      <c r="AE2" s="136"/>
      <c r="AF2" s="138" t="str">
        <f>AA3&amp;"- "&amp;V3&amp;"- "&amp;R3&amp;"- "&amp;M3&amp;"- "&amp;H3&amp;"- "&amp;C3</f>
        <v>2074 DHU- 2072 DHU- ر ر س 5431- ر ا ل 7855- ر ا ل 7856- ر ا ل 7857</v>
      </c>
      <c r="AG2" s="139"/>
    </row>
    <row r="3" spans="1:33" ht="21" thickBot="1">
      <c r="A3" s="136" t="s">
        <v>2</v>
      </c>
      <c r="B3" s="136"/>
      <c r="C3" s="142" t="s">
        <v>125</v>
      </c>
      <c r="D3" s="143"/>
      <c r="F3" s="136" t="s">
        <v>2</v>
      </c>
      <c r="G3" s="136"/>
      <c r="H3" s="142" t="s">
        <v>127</v>
      </c>
      <c r="I3" s="143"/>
      <c r="K3" s="136" t="s">
        <v>2</v>
      </c>
      <c r="L3" s="136"/>
      <c r="M3" s="142" t="s">
        <v>128</v>
      </c>
      <c r="N3" s="143"/>
      <c r="P3" s="136" t="s">
        <v>2</v>
      </c>
      <c r="Q3" s="136"/>
      <c r="R3" s="142" t="s">
        <v>129</v>
      </c>
      <c r="S3" s="143"/>
      <c r="T3" s="136" t="s">
        <v>2</v>
      </c>
      <c r="U3" s="136"/>
      <c r="V3" s="142" t="s">
        <v>183</v>
      </c>
      <c r="W3" s="143"/>
      <c r="Y3" s="136" t="s">
        <v>2</v>
      </c>
      <c r="Z3" s="136"/>
      <c r="AA3" s="142" t="s">
        <v>184</v>
      </c>
      <c r="AB3" s="143"/>
      <c r="AD3" s="136" t="s">
        <v>2</v>
      </c>
      <c r="AE3" s="136"/>
      <c r="AF3" s="140"/>
      <c r="AG3" s="141"/>
    </row>
    <row r="4" spans="1:33" ht="6.75" customHeight="1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  <c r="P4" s="4"/>
      <c r="Q4" s="4"/>
      <c r="R4" s="4"/>
      <c r="S4" s="5"/>
      <c r="T4" s="4"/>
      <c r="U4" s="4"/>
      <c r="V4" s="4"/>
      <c r="W4" s="5"/>
      <c r="Y4" s="4"/>
      <c r="Z4" s="4"/>
      <c r="AA4" s="4"/>
      <c r="AB4" s="5"/>
      <c r="AD4" s="4"/>
      <c r="AE4" s="4"/>
      <c r="AF4" s="4"/>
      <c r="AG4" s="5"/>
    </row>
    <row r="5" spans="1:33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T5" s="144" t="s">
        <v>6</v>
      </c>
      <c r="U5" s="145"/>
      <c r="V5" s="146"/>
      <c r="W5" s="50" t="s">
        <v>7</v>
      </c>
      <c r="Y5" s="144" t="s">
        <v>6</v>
      </c>
      <c r="Z5" s="145"/>
      <c r="AA5" s="146"/>
      <c r="AB5" s="50" t="s">
        <v>7</v>
      </c>
      <c r="AD5" s="144" t="s">
        <v>6</v>
      </c>
      <c r="AE5" s="145"/>
      <c r="AF5" s="146"/>
      <c r="AG5" s="50" t="s">
        <v>7</v>
      </c>
    </row>
    <row r="6" spans="1:33" ht="17.25" thickBot="1">
      <c r="A6" s="147" t="s">
        <v>294</v>
      </c>
      <c r="B6" s="148"/>
      <c r="C6" s="149"/>
      <c r="D6" s="50">
        <v>24876.574782608699</v>
      </c>
      <c r="F6" s="147" t="s">
        <v>294</v>
      </c>
      <c r="G6" s="148"/>
      <c r="H6" s="149"/>
      <c r="I6" s="50">
        <v>17474.800000000003</v>
      </c>
      <c r="K6" s="147" t="s">
        <v>294</v>
      </c>
      <c r="L6" s="148"/>
      <c r="M6" s="149"/>
      <c r="N6" s="50">
        <v>23335.9130434783</v>
      </c>
      <c r="P6" s="147" t="s">
        <v>294</v>
      </c>
      <c r="Q6" s="148"/>
      <c r="R6" s="149"/>
      <c r="S6" s="50">
        <v>28173.043478260872</v>
      </c>
      <c r="T6" s="147" t="s">
        <v>294</v>
      </c>
      <c r="U6" s="148"/>
      <c r="V6" s="149"/>
      <c r="W6" s="50">
        <v>19578.26086956522</v>
      </c>
      <c r="Y6" s="147" t="s">
        <v>294</v>
      </c>
      <c r="Z6" s="148"/>
      <c r="AA6" s="149"/>
      <c r="AB6" s="50">
        <v>18780.869565217392</v>
      </c>
      <c r="AD6" s="147" t="s">
        <v>294</v>
      </c>
      <c r="AE6" s="148"/>
      <c r="AF6" s="149"/>
      <c r="AG6" s="50">
        <f>AB6+W6+S6+N6+I6+D6</f>
        <v>132219.46173913049</v>
      </c>
    </row>
    <row r="7" spans="1:33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50">
        <v>0</v>
      </c>
      <c r="T7" s="147" t="s">
        <v>295</v>
      </c>
      <c r="U7" s="148"/>
      <c r="V7" s="149"/>
      <c r="W7" s="50">
        <v>0</v>
      </c>
      <c r="Y7" s="147" t="s">
        <v>295</v>
      </c>
      <c r="Z7" s="148"/>
      <c r="AA7" s="149"/>
      <c r="AB7" s="50">
        <v>0</v>
      </c>
      <c r="AD7" s="147" t="s">
        <v>295</v>
      </c>
      <c r="AE7" s="148"/>
      <c r="AF7" s="149"/>
      <c r="AG7" s="50">
        <f t="shared" ref="AG7:AG24" si="0">AB7+W7+S7+N7+I7+D7</f>
        <v>0</v>
      </c>
    </row>
    <row r="8" spans="1:33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1500</v>
      </c>
      <c r="P8" s="147" t="s">
        <v>296</v>
      </c>
      <c r="Q8" s="148"/>
      <c r="R8" s="149"/>
      <c r="S8" s="50">
        <v>0</v>
      </c>
      <c r="T8" s="147" t="s">
        <v>296</v>
      </c>
      <c r="U8" s="148"/>
      <c r="V8" s="149"/>
      <c r="W8" s="50">
        <v>0</v>
      </c>
      <c r="Y8" s="147" t="s">
        <v>296</v>
      </c>
      <c r="Z8" s="148"/>
      <c r="AA8" s="149"/>
      <c r="AB8" s="50">
        <v>0</v>
      </c>
      <c r="AD8" s="147" t="s">
        <v>296</v>
      </c>
      <c r="AE8" s="148"/>
      <c r="AF8" s="149"/>
      <c r="AG8" s="50">
        <f t="shared" si="0"/>
        <v>1500</v>
      </c>
    </row>
    <row r="9" spans="1:33" ht="17.25" thickBot="1">
      <c r="A9" s="150" t="s">
        <v>9</v>
      </c>
      <c r="B9" s="151"/>
      <c r="C9" s="152"/>
      <c r="D9" s="51">
        <f>SUM(D6:D8)</f>
        <v>24876.574782608699</v>
      </c>
      <c r="F9" s="150" t="s">
        <v>9</v>
      </c>
      <c r="G9" s="151"/>
      <c r="H9" s="152"/>
      <c r="I9" s="51">
        <f>SUM(I6:I8)</f>
        <v>17474.800000000003</v>
      </c>
      <c r="K9" s="150" t="s">
        <v>9</v>
      </c>
      <c r="L9" s="151"/>
      <c r="M9" s="152"/>
      <c r="N9" s="51">
        <f>SUM(N6:N8)</f>
        <v>24835.9130434783</v>
      </c>
      <c r="P9" s="150" t="s">
        <v>9</v>
      </c>
      <c r="Q9" s="151"/>
      <c r="R9" s="152"/>
      <c r="S9" s="51">
        <f>SUM(S6:S8)</f>
        <v>28173.043478260872</v>
      </c>
      <c r="T9" s="150" t="s">
        <v>9</v>
      </c>
      <c r="U9" s="151"/>
      <c r="V9" s="152"/>
      <c r="W9" s="51">
        <f>SUM(W6:W8)</f>
        <v>19578.26086956522</v>
      </c>
      <c r="Y9" s="150" t="s">
        <v>9</v>
      </c>
      <c r="Z9" s="151"/>
      <c r="AA9" s="152"/>
      <c r="AB9" s="51">
        <f>SUM(AB6:AB8)</f>
        <v>18780.869565217392</v>
      </c>
      <c r="AD9" s="150" t="s">
        <v>9</v>
      </c>
      <c r="AE9" s="151"/>
      <c r="AF9" s="152"/>
      <c r="AG9" s="51">
        <f t="shared" si="0"/>
        <v>133719.46173913049</v>
      </c>
    </row>
    <row r="10" spans="1:33" ht="17.25" thickBot="1">
      <c r="A10" s="147" t="s">
        <v>39</v>
      </c>
      <c r="B10" s="148"/>
      <c r="C10" s="149"/>
      <c r="D10" s="50">
        <v>204.01</v>
      </c>
      <c r="F10" s="147" t="s">
        <v>39</v>
      </c>
      <c r="G10" s="148"/>
      <c r="H10" s="149"/>
      <c r="I10" s="50">
        <v>214</v>
      </c>
      <c r="K10" s="147" t="s">
        <v>39</v>
      </c>
      <c r="L10" s="148"/>
      <c r="M10" s="149"/>
      <c r="N10" s="50">
        <v>392.70010000000002</v>
      </c>
      <c r="P10" s="147" t="s">
        <v>39</v>
      </c>
      <c r="Q10" s="148"/>
      <c r="R10" s="149"/>
      <c r="S10" s="50">
        <v>184</v>
      </c>
      <c r="T10" s="147" t="s">
        <v>39</v>
      </c>
      <c r="U10" s="148"/>
      <c r="V10" s="149"/>
      <c r="W10" s="50">
        <v>197.04</v>
      </c>
      <c r="Y10" s="147" t="s">
        <v>39</v>
      </c>
      <c r="Z10" s="148"/>
      <c r="AA10" s="149"/>
      <c r="AB10" s="50">
        <v>284</v>
      </c>
      <c r="AD10" s="147" t="s">
        <v>39</v>
      </c>
      <c r="AE10" s="148"/>
      <c r="AF10" s="149"/>
      <c r="AG10" s="50">
        <f t="shared" si="0"/>
        <v>1475.7501</v>
      </c>
    </row>
    <row r="11" spans="1:33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50">
        <v>0</v>
      </c>
      <c r="T11" s="147" t="s">
        <v>40</v>
      </c>
      <c r="U11" s="148"/>
      <c r="V11" s="149"/>
      <c r="W11" s="50">
        <v>133</v>
      </c>
      <c r="Y11" s="147" t="s">
        <v>40</v>
      </c>
      <c r="Z11" s="148"/>
      <c r="AA11" s="149"/>
      <c r="AB11" s="50">
        <v>100</v>
      </c>
      <c r="AD11" s="147" t="s">
        <v>40</v>
      </c>
      <c r="AE11" s="148"/>
      <c r="AF11" s="149"/>
      <c r="AG11" s="50">
        <f t="shared" si="0"/>
        <v>233</v>
      </c>
    </row>
    <row r="12" spans="1:33" ht="17.25" thickBot="1">
      <c r="A12" s="147" t="s">
        <v>41</v>
      </c>
      <c r="B12" s="148"/>
      <c r="C12" s="149"/>
      <c r="D12" s="50">
        <v>94.394390738999988</v>
      </c>
      <c r="F12" s="147" t="s">
        <v>41</v>
      </c>
      <c r="G12" s="148"/>
      <c r="H12" s="149"/>
      <c r="I12" s="50">
        <v>63.562201617000007</v>
      </c>
      <c r="K12" s="147" t="s">
        <v>41</v>
      </c>
      <c r="L12" s="148"/>
      <c r="M12" s="149"/>
      <c r="N12" s="50">
        <v>184.96598966000002</v>
      </c>
      <c r="P12" s="147" t="s">
        <v>41</v>
      </c>
      <c r="Q12" s="148"/>
      <c r="R12" s="149"/>
      <c r="S12" s="50">
        <v>151.39928445000001</v>
      </c>
      <c r="T12" s="147" t="s">
        <v>41</v>
      </c>
      <c r="U12" s="148"/>
      <c r="V12" s="149"/>
      <c r="W12" s="50">
        <v>3.8199959140000002</v>
      </c>
      <c r="Y12" s="147" t="s">
        <v>41</v>
      </c>
      <c r="Z12" s="148"/>
      <c r="AA12" s="149"/>
      <c r="AB12" s="50">
        <v>52.219607241000006</v>
      </c>
      <c r="AD12" s="147" t="s">
        <v>41</v>
      </c>
      <c r="AE12" s="148"/>
      <c r="AF12" s="149"/>
      <c r="AG12" s="50">
        <f t="shared" si="0"/>
        <v>550.36146962100008</v>
      </c>
    </row>
    <row r="13" spans="1:33" ht="17.25" thickBot="1">
      <c r="A13" s="147" t="s">
        <v>297</v>
      </c>
      <c r="B13" s="148"/>
      <c r="C13" s="149"/>
      <c r="D13" s="50">
        <f>290+652.67</f>
        <v>942.67</v>
      </c>
      <c r="F13" s="147" t="s">
        <v>297</v>
      </c>
      <c r="G13" s="148"/>
      <c r="H13" s="149"/>
      <c r="I13" s="50">
        <v>1544.04</v>
      </c>
      <c r="K13" s="147" t="s">
        <v>297</v>
      </c>
      <c r="L13" s="148"/>
      <c r="M13" s="149"/>
      <c r="N13" s="50">
        <v>1092.8899999999999</v>
      </c>
      <c r="P13" s="147" t="s">
        <v>297</v>
      </c>
      <c r="Q13" s="148"/>
      <c r="R13" s="149"/>
      <c r="S13" s="50">
        <v>1291.8699999999999</v>
      </c>
      <c r="T13" s="147" t="s">
        <v>297</v>
      </c>
      <c r="U13" s="148"/>
      <c r="V13" s="149"/>
      <c r="W13" s="50">
        <v>715.23</v>
      </c>
      <c r="Y13" s="147" t="s">
        <v>297</v>
      </c>
      <c r="Z13" s="148"/>
      <c r="AA13" s="149"/>
      <c r="AB13" s="50">
        <v>610.87</v>
      </c>
      <c r="AD13" s="147" t="s">
        <v>297</v>
      </c>
      <c r="AE13" s="148"/>
      <c r="AF13" s="149"/>
      <c r="AG13" s="50">
        <f t="shared" si="0"/>
        <v>6197.57</v>
      </c>
    </row>
    <row r="14" spans="1:33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0</v>
      </c>
      <c r="K14" s="147" t="s">
        <v>43</v>
      </c>
      <c r="L14" s="148"/>
      <c r="M14" s="149"/>
      <c r="N14" s="50">
        <v>0</v>
      </c>
      <c r="P14" s="147" t="s">
        <v>43</v>
      </c>
      <c r="Q14" s="148"/>
      <c r="R14" s="149"/>
      <c r="S14" s="50">
        <v>875.91399999999999</v>
      </c>
      <c r="T14" s="147" t="s">
        <v>43</v>
      </c>
      <c r="U14" s="148"/>
      <c r="V14" s="149"/>
      <c r="W14" s="50">
        <v>875.91</v>
      </c>
      <c r="Y14" s="147" t="s">
        <v>43</v>
      </c>
      <c r="Z14" s="148"/>
      <c r="AA14" s="149"/>
      <c r="AB14" s="50">
        <v>875.91</v>
      </c>
      <c r="AD14" s="147" t="s">
        <v>43</v>
      </c>
      <c r="AE14" s="148"/>
      <c r="AF14" s="149"/>
      <c r="AG14" s="50">
        <f t="shared" si="0"/>
        <v>2627.7339999999999</v>
      </c>
    </row>
    <row r="15" spans="1:33" ht="17.25" thickBot="1">
      <c r="A15" s="147" t="s">
        <v>44</v>
      </c>
      <c r="B15" s="148"/>
      <c r="C15" s="149"/>
      <c r="D15" s="50">
        <v>393.27</v>
      </c>
      <c r="F15" s="147" t="s">
        <v>44</v>
      </c>
      <c r="G15" s="148"/>
      <c r="H15" s="149"/>
      <c r="I15" s="50">
        <v>671.08999999999992</v>
      </c>
      <c r="K15" s="147" t="s">
        <v>44</v>
      </c>
      <c r="L15" s="148"/>
      <c r="M15" s="149"/>
      <c r="N15" s="50">
        <v>791.07999999999993</v>
      </c>
      <c r="P15" s="147" t="s">
        <v>44</v>
      </c>
      <c r="Q15" s="148"/>
      <c r="R15" s="149"/>
      <c r="S15" s="50">
        <v>654.12000000000012</v>
      </c>
      <c r="T15" s="147" t="s">
        <v>44</v>
      </c>
      <c r="U15" s="148"/>
      <c r="V15" s="149"/>
      <c r="W15" s="50">
        <v>950.20999999999992</v>
      </c>
      <c r="Y15" s="147" t="s">
        <v>44</v>
      </c>
      <c r="Z15" s="148"/>
      <c r="AA15" s="149"/>
      <c r="AB15" s="50">
        <v>393.27</v>
      </c>
      <c r="AD15" s="147" t="s">
        <v>44</v>
      </c>
      <c r="AE15" s="148"/>
      <c r="AF15" s="149"/>
      <c r="AG15" s="50">
        <f t="shared" si="0"/>
        <v>3853.0400000000004</v>
      </c>
    </row>
    <row r="16" spans="1:33" ht="17.25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375</v>
      </c>
      <c r="K16" s="147" t="s">
        <v>298</v>
      </c>
      <c r="L16" s="148"/>
      <c r="M16" s="149"/>
      <c r="N16" s="50">
        <v>300</v>
      </c>
      <c r="P16" s="147" t="s">
        <v>298</v>
      </c>
      <c r="Q16" s="148"/>
      <c r="R16" s="149"/>
      <c r="S16" s="50"/>
      <c r="T16" s="147" t="s">
        <v>298</v>
      </c>
      <c r="U16" s="148"/>
      <c r="V16" s="149"/>
      <c r="W16" s="50">
        <v>300</v>
      </c>
      <c r="Y16" s="147" t="s">
        <v>298</v>
      </c>
      <c r="Z16" s="148"/>
      <c r="AA16" s="149"/>
      <c r="AB16" s="50">
        <v>300</v>
      </c>
      <c r="AD16" s="147" t="s">
        <v>298</v>
      </c>
      <c r="AE16" s="148"/>
      <c r="AF16" s="149"/>
      <c r="AG16" s="50">
        <f t="shared" si="0"/>
        <v>1575</v>
      </c>
    </row>
    <row r="17" spans="1:35" ht="17.25" thickBot="1">
      <c r="A17" s="153" t="s">
        <v>48</v>
      </c>
      <c r="B17" s="154"/>
      <c r="C17" s="155"/>
      <c r="D17" s="52">
        <f>SUM(D10:D16)</f>
        <v>1934.3443907389999</v>
      </c>
      <c r="F17" s="153" t="s">
        <v>48</v>
      </c>
      <c r="G17" s="154"/>
      <c r="H17" s="155"/>
      <c r="I17" s="52">
        <f>SUM(I10:I16)</f>
        <v>2867.6922016170001</v>
      </c>
      <c r="K17" s="153" t="s">
        <v>48</v>
      </c>
      <c r="L17" s="154"/>
      <c r="M17" s="155"/>
      <c r="N17" s="52">
        <f>SUM(N10:N16)</f>
        <v>2761.6360896599999</v>
      </c>
      <c r="P17" s="153" t="s">
        <v>48</v>
      </c>
      <c r="Q17" s="154"/>
      <c r="R17" s="155"/>
      <c r="S17" s="52">
        <f>SUM(S10:S16)</f>
        <v>3157.3032844499994</v>
      </c>
      <c r="T17" s="153" t="s">
        <v>48</v>
      </c>
      <c r="U17" s="154"/>
      <c r="V17" s="155"/>
      <c r="W17" s="52">
        <f>SUM(W10:W16)</f>
        <v>3175.209995914</v>
      </c>
      <c r="Y17" s="153" t="s">
        <v>48</v>
      </c>
      <c r="Z17" s="154"/>
      <c r="AA17" s="155"/>
      <c r="AB17" s="52">
        <f>SUM(AB10:AB16)</f>
        <v>2616.2696072409999</v>
      </c>
      <c r="AD17" s="153" t="s">
        <v>48</v>
      </c>
      <c r="AE17" s="154"/>
      <c r="AF17" s="155"/>
      <c r="AG17" s="52">
        <f t="shared" si="0"/>
        <v>16512.455569620997</v>
      </c>
    </row>
    <row r="18" spans="1:35" ht="17.25" thickBot="1">
      <c r="A18" s="156" t="s">
        <v>10</v>
      </c>
      <c r="B18" s="157"/>
      <c r="C18" s="158"/>
      <c r="D18" s="53">
        <f>D9-D17</f>
        <v>22942.2303918697</v>
      </c>
      <c r="F18" s="156" t="s">
        <v>10</v>
      </c>
      <c r="G18" s="157"/>
      <c r="H18" s="158"/>
      <c r="I18" s="53">
        <f>I9-I17</f>
        <v>14607.107798383004</v>
      </c>
      <c r="K18" s="156" t="s">
        <v>10</v>
      </c>
      <c r="L18" s="157"/>
      <c r="M18" s="158"/>
      <c r="N18" s="53">
        <f>N9-N17</f>
        <v>22074.276953818298</v>
      </c>
      <c r="P18" s="156" t="s">
        <v>10</v>
      </c>
      <c r="Q18" s="157"/>
      <c r="R18" s="158"/>
      <c r="S18" s="53">
        <f>S9-S17</f>
        <v>25015.740193810874</v>
      </c>
      <c r="T18" s="156" t="s">
        <v>10</v>
      </c>
      <c r="U18" s="157"/>
      <c r="V18" s="158"/>
      <c r="W18" s="53">
        <f>W9-W17</f>
        <v>16403.05087365122</v>
      </c>
      <c r="Y18" s="156" t="s">
        <v>10</v>
      </c>
      <c r="Z18" s="157"/>
      <c r="AA18" s="158"/>
      <c r="AB18" s="53">
        <f>AB9-AB17</f>
        <v>16164.599957976392</v>
      </c>
      <c r="AD18" s="156" t="s">
        <v>10</v>
      </c>
      <c r="AE18" s="157"/>
      <c r="AF18" s="158"/>
      <c r="AG18" s="53">
        <f t="shared" si="0"/>
        <v>117207.00616950948</v>
      </c>
    </row>
    <row r="19" spans="1:35" ht="17.25" thickBot="1">
      <c r="A19" s="147" t="s">
        <v>20</v>
      </c>
      <c r="B19" s="148"/>
      <c r="C19" s="149"/>
      <c r="D19" s="50">
        <f>D18*0.3</f>
        <v>6882.6691175609094</v>
      </c>
      <c r="F19" s="147" t="s">
        <v>20</v>
      </c>
      <c r="G19" s="148"/>
      <c r="H19" s="149"/>
      <c r="I19" s="50">
        <f>I18*0.3</f>
        <v>4382.1323395149011</v>
      </c>
      <c r="K19" s="147" t="s">
        <v>20</v>
      </c>
      <c r="L19" s="148"/>
      <c r="M19" s="149"/>
      <c r="N19" s="50">
        <f>N18*0.3</f>
        <v>6622.2830861454895</v>
      </c>
      <c r="P19" s="147" t="s">
        <v>20</v>
      </c>
      <c r="Q19" s="148"/>
      <c r="R19" s="149"/>
      <c r="S19" s="50">
        <f>S18*0.3</f>
        <v>7504.7220581432621</v>
      </c>
      <c r="T19" s="147" t="s">
        <v>20</v>
      </c>
      <c r="U19" s="148"/>
      <c r="V19" s="149"/>
      <c r="W19" s="50">
        <f>W18*0.3</f>
        <v>4920.9152620953655</v>
      </c>
      <c r="Y19" s="147" t="s">
        <v>20</v>
      </c>
      <c r="Z19" s="148"/>
      <c r="AA19" s="149"/>
      <c r="AB19" s="50">
        <f>AB18*0.3</f>
        <v>4849.3799873929174</v>
      </c>
      <c r="AD19" s="147" t="s">
        <v>20</v>
      </c>
      <c r="AE19" s="148"/>
      <c r="AF19" s="149"/>
      <c r="AG19" s="50">
        <f t="shared" si="0"/>
        <v>35162.101850852843</v>
      </c>
    </row>
    <row r="20" spans="1:35" ht="17.25" thickBot="1">
      <c r="A20" s="159" t="s">
        <v>21</v>
      </c>
      <c r="B20" s="160"/>
      <c r="C20" s="161"/>
      <c r="D20" s="54">
        <f>D18-D19</f>
        <v>16059.561274308791</v>
      </c>
      <c r="F20" s="159" t="s">
        <v>21</v>
      </c>
      <c r="G20" s="160"/>
      <c r="H20" s="161"/>
      <c r="I20" s="54">
        <f>I18-I19</f>
        <v>10224.975458868103</v>
      </c>
      <c r="K20" s="159" t="s">
        <v>21</v>
      </c>
      <c r="L20" s="160"/>
      <c r="M20" s="161"/>
      <c r="N20" s="54">
        <f>N18-N19</f>
        <v>15451.993867672809</v>
      </c>
      <c r="P20" s="159" t="s">
        <v>21</v>
      </c>
      <c r="Q20" s="160"/>
      <c r="R20" s="161"/>
      <c r="S20" s="54">
        <f>S18-S19</f>
        <v>17511.018135667611</v>
      </c>
      <c r="T20" s="159" t="s">
        <v>21</v>
      </c>
      <c r="U20" s="160"/>
      <c r="V20" s="161"/>
      <c r="W20" s="54">
        <f>W18-W19</f>
        <v>11482.135611555856</v>
      </c>
      <c r="Y20" s="159" t="s">
        <v>21</v>
      </c>
      <c r="Z20" s="160"/>
      <c r="AA20" s="161"/>
      <c r="AB20" s="54">
        <f>AB18-AB19</f>
        <v>11315.219970583476</v>
      </c>
      <c r="AD20" s="159" t="s">
        <v>21</v>
      </c>
      <c r="AE20" s="160"/>
      <c r="AF20" s="161"/>
      <c r="AG20" s="54">
        <f t="shared" si="0"/>
        <v>82044.904318656656</v>
      </c>
    </row>
    <row r="21" spans="1:35" ht="17.25" thickBot="1">
      <c r="A21" s="147" t="s">
        <v>11</v>
      </c>
      <c r="B21" s="148"/>
      <c r="C21" s="149"/>
      <c r="D21" s="50">
        <v>5000</v>
      </c>
      <c r="F21" s="147" t="s">
        <v>11</v>
      </c>
      <c r="G21" s="148"/>
      <c r="H21" s="149"/>
      <c r="I21" s="50">
        <v>5000</v>
      </c>
      <c r="K21" s="147" t="s">
        <v>11</v>
      </c>
      <c r="L21" s="148"/>
      <c r="M21" s="149"/>
      <c r="N21" s="50">
        <v>5000</v>
      </c>
      <c r="P21" s="147" t="s">
        <v>11</v>
      </c>
      <c r="Q21" s="148"/>
      <c r="R21" s="149"/>
      <c r="S21" s="50">
        <v>5000</v>
      </c>
      <c r="T21" s="147" t="s">
        <v>11</v>
      </c>
      <c r="U21" s="148"/>
      <c r="V21" s="149"/>
      <c r="W21" s="50">
        <v>5000</v>
      </c>
      <c r="Y21" s="147" t="s">
        <v>11</v>
      </c>
      <c r="Z21" s="148"/>
      <c r="AA21" s="149"/>
      <c r="AB21" s="50"/>
      <c r="AD21" s="147" t="s">
        <v>11</v>
      </c>
      <c r="AE21" s="148"/>
      <c r="AF21" s="149"/>
      <c r="AG21" s="50">
        <f t="shared" si="0"/>
        <v>25000</v>
      </c>
    </row>
    <row r="22" spans="1:35" ht="17.25" thickBot="1">
      <c r="A22" s="150" t="s">
        <v>12</v>
      </c>
      <c r="B22" s="151"/>
      <c r="C22" s="152"/>
      <c r="D22" s="51">
        <f>D20-D21</f>
        <v>11059.561274308791</v>
      </c>
      <c r="F22" s="150" t="s">
        <v>12</v>
      </c>
      <c r="G22" s="151"/>
      <c r="H22" s="152"/>
      <c r="I22" s="51">
        <f>I20-I21</f>
        <v>5224.9754588681026</v>
      </c>
      <c r="K22" s="150" t="s">
        <v>12</v>
      </c>
      <c r="L22" s="151"/>
      <c r="M22" s="152"/>
      <c r="N22" s="51">
        <f>N20-N21</f>
        <v>10451.993867672809</v>
      </c>
      <c r="P22" s="150" t="s">
        <v>12</v>
      </c>
      <c r="Q22" s="151"/>
      <c r="R22" s="152"/>
      <c r="S22" s="51">
        <f>S20-S21</f>
        <v>12511.018135667611</v>
      </c>
      <c r="T22" s="150" t="s">
        <v>12</v>
      </c>
      <c r="U22" s="151"/>
      <c r="V22" s="152"/>
      <c r="W22" s="51">
        <f>W20-W21</f>
        <v>6482.1356115558556</v>
      </c>
      <c r="Y22" s="150" t="s">
        <v>12</v>
      </c>
      <c r="Z22" s="151"/>
      <c r="AA22" s="152"/>
      <c r="AB22" s="51">
        <f>AB20-AB21</f>
        <v>11315.219970583476</v>
      </c>
      <c r="AD22" s="150" t="s">
        <v>12</v>
      </c>
      <c r="AE22" s="151"/>
      <c r="AF22" s="152"/>
      <c r="AG22" s="51">
        <f t="shared" si="0"/>
        <v>57044.904318656641</v>
      </c>
    </row>
    <row r="23" spans="1:35" ht="17.25" thickBot="1">
      <c r="A23" s="150" t="s">
        <v>299</v>
      </c>
      <c r="B23" s="151" t="s">
        <v>299</v>
      </c>
      <c r="C23" s="152"/>
      <c r="D23" s="51">
        <v>0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v>0</v>
      </c>
      <c r="P23" s="150" t="s">
        <v>299</v>
      </c>
      <c r="Q23" s="151" t="s">
        <v>299</v>
      </c>
      <c r="R23" s="152"/>
      <c r="S23" s="51">
        <v>0</v>
      </c>
      <c r="T23" s="150" t="s">
        <v>299</v>
      </c>
      <c r="U23" s="151" t="s">
        <v>299</v>
      </c>
      <c r="V23" s="152"/>
      <c r="W23" s="51">
        <v>0</v>
      </c>
      <c r="Y23" s="150" t="s">
        <v>299</v>
      </c>
      <c r="Z23" s="151" t="s">
        <v>299</v>
      </c>
      <c r="AA23" s="152"/>
      <c r="AB23" s="51">
        <v>0</v>
      </c>
      <c r="AD23" s="150" t="s">
        <v>299</v>
      </c>
      <c r="AE23" s="151" t="s">
        <v>299</v>
      </c>
      <c r="AF23" s="152"/>
      <c r="AG23" s="51">
        <f t="shared" si="0"/>
        <v>0</v>
      </c>
    </row>
    <row r="24" spans="1:35" ht="17.25" thickBot="1">
      <c r="A24" s="150" t="s">
        <v>300</v>
      </c>
      <c r="B24" s="151" t="s">
        <v>300</v>
      </c>
      <c r="C24" s="152"/>
      <c r="D24" s="51">
        <f>D22+D23</f>
        <v>11059.561274308791</v>
      </c>
      <c r="F24" s="150" t="s">
        <v>300</v>
      </c>
      <c r="G24" s="151" t="s">
        <v>300</v>
      </c>
      <c r="H24" s="152"/>
      <c r="I24" s="51">
        <f>I22+I23</f>
        <v>5224.9754588681026</v>
      </c>
      <c r="K24" s="150" t="s">
        <v>300</v>
      </c>
      <c r="L24" s="151" t="s">
        <v>300</v>
      </c>
      <c r="M24" s="152"/>
      <c r="N24" s="51">
        <f>N22+N23</f>
        <v>10451.993867672809</v>
      </c>
      <c r="P24" s="150" t="s">
        <v>300</v>
      </c>
      <c r="Q24" s="151" t="s">
        <v>300</v>
      </c>
      <c r="R24" s="152"/>
      <c r="S24" s="51">
        <f>S22+S23</f>
        <v>12511.018135667611</v>
      </c>
      <c r="T24" s="150" t="s">
        <v>300</v>
      </c>
      <c r="U24" s="151" t="s">
        <v>300</v>
      </c>
      <c r="V24" s="152"/>
      <c r="W24" s="51">
        <f>W22+W23</f>
        <v>6482.1356115558556</v>
      </c>
      <c r="Y24" s="150" t="s">
        <v>300</v>
      </c>
      <c r="Z24" s="151" t="s">
        <v>300</v>
      </c>
      <c r="AA24" s="152"/>
      <c r="AB24" s="51">
        <f>AB22+AB23</f>
        <v>11315.219970583476</v>
      </c>
      <c r="AD24" s="150" t="s">
        <v>300</v>
      </c>
      <c r="AE24" s="151" t="s">
        <v>300</v>
      </c>
      <c r="AF24" s="152"/>
      <c r="AG24" s="51">
        <f t="shared" si="0"/>
        <v>57044.904318656641</v>
      </c>
    </row>
    <row r="25" spans="1:35" ht="16.5">
      <c r="F25" s="12" t="s">
        <v>24</v>
      </c>
      <c r="G25" s="4"/>
      <c r="H25" s="4"/>
      <c r="I25" s="5"/>
      <c r="K25" s="12" t="s">
        <v>24</v>
      </c>
      <c r="L25" s="4"/>
      <c r="M25" s="4"/>
      <c r="N25" s="5"/>
      <c r="Y25" s="12" t="s">
        <v>24</v>
      </c>
      <c r="Z25" s="4"/>
      <c r="AA25" s="4"/>
      <c r="AB25" s="5"/>
    </row>
    <row r="26" spans="1:35">
      <c r="F26" s="15" t="s">
        <v>13</v>
      </c>
      <c r="G26" s="15" t="s">
        <v>14</v>
      </c>
      <c r="H26" s="15" t="s">
        <v>15</v>
      </c>
      <c r="I26" s="16" t="s">
        <v>16</v>
      </c>
      <c r="K26" s="15" t="s">
        <v>13</v>
      </c>
      <c r="L26" s="15" t="s">
        <v>29</v>
      </c>
      <c r="M26" s="15" t="s">
        <v>25</v>
      </c>
      <c r="N26" s="16" t="s">
        <v>7</v>
      </c>
      <c r="Y26" s="15" t="s">
        <v>13</v>
      </c>
      <c r="Z26" s="15" t="s">
        <v>29</v>
      </c>
      <c r="AA26" s="15" t="s">
        <v>25</v>
      </c>
      <c r="AB26" s="16" t="s">
        <v>7</v>
      </c>
    </row>
    <row r="27" spans="1:35" ht="24">
      <c r="F27" s="24" t="s">
        <v>278</v>
      </c>
      <c r="G27" s="100">
        <v>2024</v>
      </c>
      <c r="H27" s="41" t="s">
        <v>65</v>
      </c>
      <c r="I27" s="84">
        <v>174.99</v>
      </c>
      <c r="K27" s="24" t="s">
        <v>133</v>
      </c>
      <c r="L27" s="100">
        <v>2023</v>
      </c>
      <c r="M27" s="26">
        <v>401014001154405</v>
      </c>
      <c r="N27" s="85">
        <v>10074</v>
      </c>
      <c r="Y27" s="24" t="s">
        <v>186</v>
      </c>
      <c r="Z27" s="25">
        <v>45199</v>
      </c>
      <c r="AA27" s="26">
        <v>401014501649117</v>
      </c>
      <c r="AB27" s="84">
        <v>2826.32</v>
      </c>
      <c r="AI27" t="s">
        <v>291</v>
      </c>
    </row>
    <row r="28" spans="1:35" ht="30" customHeight="1">
      <c r="AH28">
        <v>10000</v>
      </c>
      <c r="AI28" s="76">
        <v>45389</v>
      </c>
    </row>
    <row r="29" spans="1:35" ht="21" customHeight="1">
      <c r="AH29">
        <v>15000</v>
      </c>
      <c r="AI29" s="76">
        <v>45631</v>
      </c>
    </row>
    <row r="30" spans="1:35">
      <c r="AI30" s="76"/>
    </row>
    <row r="31" spans="1:35">
      <c r="AI31" s="76"/>
    </row>
  </sheetData>
  <mergeCells count="174">
    <mergeCell ref="AD24:AF24"/>
    <mergeCell ref="A24:C24"/>
    <mergeCell ref="F24:H24"/>
    <mergeCell ref="K24:M24"/>
    <mergeCell ref="P24:R24"/>
    <mergeCell ref="T24:V24"/>
    <mergeCell ref="Y24:AA24"/>
    <mergeCell ref="AD22:AF22"/>
    <mergeCell ref="A23:C23"/>
    <mergeCell ref="F23:H23"/>
    <mergeCell ref="K23:M23"/>
    <mergeCell ref="P23:R23"/>
    <mergeCell ref="T23:V23"/>
    <mergeCell ref="Y23:AA23"/>
    <mergeCell ref="AD23:AF23"/>
    <mergeCell ref="A22:C22"/>
    <mergeCell ref="F22:H22"/>
    <mergeCell ref="K22:M22"/>
    <mergeCell ref="P22:R22"/>
    <mergeCell ref="T22:V22"/>
    <mergeCell ref="Y22:AA22"/>
    <mergeCell ref="AD20:AF20"/>
    <mergeCell ref="A21:C21"/>
    <mergeCell ref="F21:H21"/>
    <mergeCell ref="K21:M21"/>
    <mergeCell ref="P21:R21"/>
    <mergeCell ref="T21:V21"/>
    <mergeCell ref="Y21:AA21"/>
    <mergeCell ref="AD21:AF21"/>
    <mergeCell ref="A20:C20"/>
    <mergeCell ref="F20:H20"/>
    <mergeCell ref="K20:M20"/>
    <mergeCell ref="P20:R20"/>
    <mergeCell ref="T20:V20"/>
    <mergeCell ref="Y20:AA20"/>
    <mergeCell ref="AD18:AF18"/>
    <mergeCell ref="A19:C19"/>
    <mergeCell ref="F19:H19"/>
    <mergeCell ref="K19:M19"/>
    <mergeCell ref="P19:R19"/>
    <mergeCell ref="T19:V19"/>
    <mergeCell ref="Y19:AA19"/>
    <mergeCell ref="AD19:AF19"/>
    <mergeCell ref="A18:C18"/>
    <mergeCell ref="F18:H18"/>
    <mergeCell ref="K18:M18"/>
    <mergeCell ref="P18:R18"/>
    <mergeCell ref="T18:V18"/>
    <mergeCell ref="Y18:AA18"/>
    <mergeCell ref="AD16:AF16"/>
    <mergeCell ref="A17:C17"/>
    <mergeCell ref="F17:H17"/>
    <mergeCell ref="K17:M17"/>
    <mergeCell ref="P17:R17"/>
    <mergeCell ref="T17:V17"/>
    <mergeCell ref="Y17:AA17"/>
    <mergeCell ref="AD17:AF17"/>
    <mergeCell ref="A16:C16"/>
    <mergeCell ref="F16:H16"/>
    <mergeCell ref="K16:M16"/>
    <mergeCell ref="P16:R16"/>
    <mergeCell ref="T16:V16"/>
    <mergeCell ref="Y16:AA16"/>
    <mergeCell ref="AD14:AF14"/>
    <mergeCell ref="A15:C15"/>
    <mergeCell ref="F15:H15"/>
    <mergeCell ref="K15:M15"/>
    <mergeCell ref="P15:R15"/>
    <mergeCell ref="T15:V15"/>
    <mergeCell ref="Y15:AA15"/>
    <mergeCell ref="AD15:AF15"/>
    <mergeCell ref="A14:C14"/>
    <mergeCell ref="F14:H14"/>
    <mergeCell ref="K14:M14"/>
    <mergeCell ref="P14:R14"/>
    <mergeCell ref="T14:V14"/>
    <mergeCell ref="Y14:AA14"/>
    <mergeCell ref="AD12:AF12"/>
    <mergeCell ref="A13:C13"/>
    <mergeCell ref="F13:H13"/>
    <mergeCell ref="K13:M13"/>
    <mergeCell ref="P13:R13"/>
    <mergeCell ref="T13:V13"/>
    <mergeCell ref="Y13:AA13"/>
    <mergeCell ref="AD13:AF13"/>
    <mergeCell ref="A12:C12"/>
    <mergeCell ref="F12:H12"/>
    <mergeCell ref="K12:M12"/>
    <mergeCell ref="P12:R12"/>
    <mergeCell ref="T12:V12"/>
    <mergeCell ref="Y12:AA12"/>
    <mergeCell ref="AD10:AF10"/>
    <mergeCell ref="A11:C11"/>
    <mergeCell ref="F11:H11"/>
    <mergeCell ref="K11:M11"/>
    <mergeCell ref="P11:R11"/>
    <mergeCell ref="T11:V11"/>
    <mergeCell ref="Y11:AA11"/>
    <mergeCell ref="AD11:AF11"/>
    <mergeCell ref="A10:C10"/>
    <mergeCell ref="F10:H10"/>
    <mergeCell ref="K10:M10"/>
    <mergeCell ref="P10:R10"/>
    <mergeCell ref="T10:V10"/>
    <mergeCell ref="Y10:AA10"/>
    <mergeCell ref="AD8:AF8"/>
    <mergeCell ref="A9:C9"/>
    <mergeCell ref="F9:H9"/>
    <mergeCell ref="K9:M9"/>
    <mergeCell ref="P9:R9"/>
    <mergeCell ref="T9:V9"/>
    <mergeCell ref="Y9:AA9"/>
    <mergeCell ref="AD9:AF9"/>
    <mergeCell ref="A8:C8"/>
    <mergeCell ref="F8:H8"/>
    <mergeCell ref="K8:M8"/>
    <mergeCell ref="P8:R8"/>
    <mergeCell ref="T8:V8"/>
    <mergeCell ref="Y8:AA8"/>
    <mergeCell ref="AD6:AF6"/>
    <mergeCell ref="A7:C7"/>
    <mergeCell ref="F7:H7"/>
    <mergeCell ref="K7:M7"/>
    <mergeCell ref="P7:R7"/>
    <mergeCell ref="T7:V7"/>
    <mergeCell ref="Y7:AA7"/>
    <mergeCell ref="AD7:AF7"/>
    <mergeCell ref="A6:C6"/>
    <mergeCell ref="F6:H6"/>
    <mergeCell ref="K6:M6"/>
    <mergeCell ref="P6:R6"/>
    <mergeCell ref="T6:V6"/>
    <mergeCell ref="Y6:AA6"/>
    <mergeCell ref="H3:I3"/>
    <mergeCell ref="K3:L3"/>
    <mergeCell ref="AA3:AB3"/>
    <mergeCell ref="AD3:AE3"/>
    <mergeCell ref="A5:C5"/>
    <mergeCell ref="F5:H5"/>
    <mergeCell ref="K5:M5"/>
    <mergeCell ref="P5:R5"/>
    <mergeCell ref="T5:V5"/>
    <mergeCell ref="Y5:AA5"/>
    <mergeCell ref="AD5:AF5"/>
    <mergeCell ref="M3:N3"/>
    <mergeCell ref="P3:Q3"/>
    <mergeCell ref="R3:S3"/>
    <mergeCell ref="T3:U3"/>
    <mergeCell ref="V3:W3"/>
    <mergeCell ref="Y3:Z3"/>
    <mergeCell ref="AD1:AG1"/>
    <mergeCell ref="A2:B2"/>
    <mergeCell ref="C2:D2"/>
    <mergeCell ref="F2:G2"/>
    <mergeCell ref="H2:I2"/>
    <mergeCell ref="K2:L2"/>
    <mergeCell ref="M2:N2"/>
    <mergeCell ref="P2:Q2"/>
    <mergeCell ref="R2:S2"/>
    <mergeCell ref="T2:U2"/>
    <mergeCell ref="A1:D1"/>
    <mergeCell ref="F1:I1"/>
    <mergeCell ref="K1:N1"/>
    <mergeCell ref="P1:S1"/>
    <mergeCell ref="T1:W1"/>
    <mergeCell ref="Y1:AB1"/>
    <mergeCell ref="V2:W2"/>
    <mergeCell ref="Y2:Z2"/>
    <mergeCell ref="AA2:AB2"/>
    <mergeCell ref="AD2:AE2"/>
    <mergeCell ref="AF2:AG3"/>
    <mergeCell ref="A3:B3"/>
    <mergeCell ref="C3:D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0F18-548C-4D4B-A790-BEDA98EA29D2}">
  <sheetPr>
    <tabColor rgb="FFFF0000"/>
  </sheetPr>
  <dimension ref="A1:AG27"/>
  <sheetViews>
    <sheetView rightToLeft="1" topLeftCell="T1" zoomScaleNormal="110" workbookViewId="0">
      <selection activeCell="AD26" sqref="AD26:AF26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0.62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1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1" customWidth="1"/>
    <col min="21" max="21" width="18" customWidth="1"/>
    <col min="22" max="22" width="12.625" customWidth="1"/>
    <col min="23" max="23" width="16.625" customWidth="1"/>
    <col min="24" max="24" width="13.375" customWidth="1"/>
    <col min="25" max="25" width="18" customWidth="1"/>
    <col min="26" max="26" width="12.625" customWidth="1"/>
    <col min="27" max="27" width="16.625" customWidth="1"/>
    <col min="28" max="28" width="13.375" customWidth="1"/>
    <col min="29" max="29" width="1" style="65" customWidth="1"/>
    <col min="30" max="30" width="18" customWidth="1"/>
    <col min="31" max="31" width="12.625" customWidth="1"/>
    <col min="32" max="32" width="31.375" customWidth="1"/>
    <col min="33" max="33" width="19.125" customWidth="1"/>
  </cols>
  <sheetData>
    <row r="1" spans="1:33" ht="18" thickBot="1">
      <c r="A1" s="135" t="s">
        <v>139</v>
      </c>
      <c r="B1" s="135"/>
      <c r="C1" s="135"/>
      <c r="D1" s="135"/>
      <c r="F1" s="135" t="s">
        <v>139</v>
      </c>
      <c r="G1" s="135"/>
      <c r="H1" s="135"/>
      <c r="I1" s="135"/>
      <c r="K1" s="135" t="s">
        <v>139</v>
      </c>
      <c r="L1" s="135"/>
      <c r="M1" s="135"/>
      <c r="N1" s="135"/>
      <c r="P1" s="135" t="s">
        <v>139</v>
      </c>
      <c r="Q1" s="135"/>
      <c r="R1" s="135"/>
      <c r="S1" s="135"/>
      <c r="U1" s="135" t="s">
        <v>139</v>
      </c>
      <c r="V1" s="135"/>
      <c r="W1" s="135"/>
      <c r="X1" s="135"/>
      <c r="Y1" s="135" t="s">
        <v>139</v>
      </c>
      <c r="Z1" s="135"/>
      <c r="AA1" s="135"/>
      <c r="AB1" s="135"/>
      <c r="AD1" s="135" t="s">
        <v>139</v>
      </c>
      <c r="AE1" s="135"/>
      <c r="AF1" s="135"/>
      <c r="AG1" s="135"/>
    </row>
    <row r="2" spans="1:33" ht="18" thickBot="1">
      <c r="A2" s="136" t="s">
        <v>1</v>
      </c>
      <c r="B2" s="136"/>
      <c r="C2" s="137" t="s">
        <v>27</v>
      </c>
      <c r="D2" s="137"/>
      <c r="F2" s="136" t="s">
        <v>1</v>
      </c>
      <c r="G2" s="136"/>
      <c r="H2" s="137" t="s">
        <v>79</v>
      </c>
      <c r="I2" s="137"/>
      <c r="K2" s="136" t="s">
        <v>1</v>
      </c>
      <c r="L2" s="136"/>
      <c r="M2" s="137" t="s">
        <v>249</v>
      </c>
      <c r="N2" s="137"/>
      <c r="P2" s="136" t="s">
        <v>1</v>
      </c>
      <c r="Q2" s="136"/>
      <c r="R2" s="137" t="s">
        <v>249</v>
      </c>
      <c r="S2" s="137"/>
      <c r="U2" s="136" t="s">
        <v>1</v>
      </c>
      <c r="V2" s="136"/>
      <c r="W2" s="137" t="s">
        <v>249</v>
      </c>
      <c r="X2" s="137"/>
      <c r="Y2" s="136" t="s">
        <v>1</v>
      </c>
      <c r="Z2" s="136"/>
      <c r="AA2" s="137" t="s">
        <v>35</v>
      </c>
      <c r="AB2" s="137"/>
      <c r="AD2" s="136" t="s">
        <v>1</v>
      </c>
      <c r="AE2" s="136"/>
      <c r="AF2" s="137" t="s">
        <v>305</v>
      </c>
      <c r="AG2" s="137"/>
    </row>
    <row r="3" spans="1:33" ht="21" thickBot="1">
      <c r="A3" s="136" t="s">
        <v>2</v>
      </c>
      <c r="B3" s="136"/>
      <c r="C3" s="142" t="s">
        <v>140</v>
      </c>
      <c r="D3" s="143"/>
      <c r="F3" s="136" t="s">
        <v>2</v>
      </c>
      <c r="G3" s="136"/>
      <c r="H3" s="142" t="s">
        <v>141</v>
      </c>
      <c r="I3" s="143"/>
      <c r="K3" s="136" t="s">
        <v>2</v>
      </c>
      <c r="L3" s="136"/>
      <c r="M3" s="142" t="s">
        <v>248</v>
      </c>
      <c r="N3" s="143"/>
      <c r="P3" s="136" t="s">
        <v>2</v>
      </c>
      <c r="Q3" s="136"/>
      <c r="R3" s="142" t="s">
        <v>252</v>
      </c>
      <c r="S3" s="143"/>
      <c r="U3" s="136" t="s">
        <v>2</v>
      </c>
      <c r="V3" s="136"/>
      <c r="W3" s="142" t="s">
        <v>253</v>
      </c>
      <c r="X3" s="143"/>
      <c r="Y3" s="136" t="s">
        <v>2</v>
      </c>
      <c r="Z3" s="136"/>
      <c r="AA3" s="142" t="s">
        <v>132</v>
      </c>
      <c r="AB3" s="143"/>
      <c r="AD3" s="136" t="s">
        <v>2</v>
      </c>
      <c r="AE3" s="136"/>
      <c r="AF3" s="162" t="str">
        <f>C3&amp;"-"&amp;H3&amp;" - "&amp;M3&amp;" - "&amp;R3&amp;" - "&amp;W3&amp;" - "&amp;AA3</f>
        <v xml:space="preserve">ر ا ل 7847-ر ر س 5432 - ر ك س 3590 - ر ك س 3497 - ر ك س 3498 - 2066 د ه و </v>
      </c>
      <c r="AG3" s="163"/>
    </row>
    <row r="4" spans="1:33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 t="s">
        <v>250</v>
      </c>
      <c r="N4" s="5"/>
      <c r="P4" s="4"/>
      <c r="Q4" s="4"/>
      <c r="R4" s="4" t="s">
        <v>250</v>
      </c>
      <c r="S4" s="5"/>
      <c r="U4" s="4"/>
      <c r="V4" s="4"/>
      <c r="W4" s="4" t="s">
        <v>250</v>
      </c>
      <c r="X4" s="5"/>
      <c r="Y4" s="4"/>
      <c r="Z4" s="4"/>
      <c r="AA4" s="4"/>
      <c r="AB4" s="5"/>
      <c r="AD4" s="4"/>
      <c r="AE4" s="4"/>
      <c r="AF4" s="4"/>
      <c r="AG4" s="5"/>
    </row>
    <row r="5" spans="1:33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U5" s="144" t="s">
        <v>6</v>
      </c>
      <c r="V5" s="145"/>
      <c r="W5" s="146"/>
      <c r="X5" s="50" t="s">
        <v>7</v>
      </c>
      <c r="Y5" s="144" t="s">
        <v>6</v>
      </c>
      <c r="Z5" s="145"/>
      <c r="AA5" s="146"/>
      <c r="AB5" s="50" t="s">
        <v>7</v>
      </c>
      <c r="AD5" s="144" t="s">
        <v>6</v>
      </c>
      <c r="AE5" s="145"/>
      <c r="AF5" s="146"/>
      <c r="AG5" s="50" t="s">
        <v>7</v>
      </c>
    </row>
    <row r="6" spans="1:33" ht="17.25" thickBot="1">
      <c r="A6" s="147" t="s">
        <v>294</v>
      </c>
      <c r="B6" s="148"/>
      <c r="C6" s="149"/>
      <c r="D6" s="50">
        <v>20752.17391304348</v>
      </c>
      <c r="F6" s="147" t="s">
        <v>294</v>
      </c>
      <c r="G6" s="148"/>
      <c r="H6" s="149"/>
      <c r="I6" s="50">
        <v>21065.217391304348</v>
      </c>
      <c r="K6" s="147" t="s">
        <v>294</v>
      </c>
      <c r="L6" s="148"/>
      <c r="M6" s="149"/>
      <c r="N6" s="50">
        <v>14111.295652173914</v>
      </c>
      <c r="P6" s="147" t="s">
        <v>294</v>
      </c>
      <c r="Q6" s="148"/>
      <c r="R6" s="149"/>
      <c r="S6" s="50">
        <v>10360.869565217392</v>
      </c>
      <c r="U6" s="147" t="s">
        <v>294</v>
      </c>
      <c r="V6" s="148"/>
      <c r="W6" s="149"/>
      <c r="X6" s="50">
        <v>16278.973913043479</v>
      </c>
      <c r="Y6" s="147" t="s">
        <v>294</v>
      </c>
      <c r="Z6" s="148"/>
      <c r="AA6" s="149"/>
      <c r="AB6" s="50">
        <v>0</v>
      </c>
      <c r="AD6" s="147" t="s">
        <v>294</v>
      </c>
      <c r="AE6" s="148"/>
      <c r="AF6" s="149"/>
      <c r="AG6" s="50">
        <f>D6+I6+N6+S6+X6+AB6</f>
        <v>82568.530434782602</v>
      </c>
    </row>
    <row r="7" spans="1:33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16000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50">
        <v>0</v>
      </c>
      <c r="U7" s="147" t="s">
        <v>295</v>
      </c>
      <c r="V7" s="148"/>
      <c r="W7" s="149"/>
      <c r="X7" s="50">
        <v>0</v>
      </c>
      <c r="Y7" s="147" t="s">
        <v>295</v>
      </c>
      <c r="Z7" s="148"/>
      <c r="AA7" s="149"/>
      <c r="AB7" s="50">
        <v>0</v>
      </c>
      <c r="AD7" s="147" t="s">
        <v>295</v>
      </c>
      <c r="AE7" s="148"/>
      <c r="AF7" s="149"/>
      <c r="AG7" s="50">
        <f t="shared" ref="AG7:AG23" si="0">D7+I7+N7+S7+X7+AB7</f>
        <v>16000</v>
      </c>
    </row>
    <row r="8" spans="1:33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/>
      <c r="U8" s="147" t="s">
        <v>296</v>
      </c>
      <c r="V8" s="148"/>
      <c r="W8" s="149"/>
      <c r="X8" s="50"/>
      <c r="Y8" s="147" t="s">
        <v>296</v>
      </c>
      <c r="Z8" s="148"/>
      <c r="AA8" s="149"/>
      <c r="AB8" s="50">
        <v>0</v>
      </c>
      <c r="AD8" s="147" t="s">
        <v>296</v>
      </c>
      <c r="AE8" s="148"/>
      <c r="AF8" s="149"/>
      <c r="AG8" s="50">
        <f t="shared" si="0"/>
        <v>0</v>
      </c>
    </row>
    <row r="9" spans="1:33" ht="17.25" thickBot="1">
      <c r="A9" s="150" t="s">
        <v>9</v>
      </c>
      <c r="B9" s="151"/>
      <c r="C9" s="152"/>
      <c r="D9" s="51">
        <f>SUM(D6:D8)</f>
        <v>20752.17391304348</v>
      </c>
      <c r="F9" s="150" t="s">
        <v>9</v>
      </c>
      <c r="G9" s="151"/>
      <c r="H9" s="152"/>
      <c r="I9" s="51">
        <f>SUM(I6:I8)</f>
        <v>37065.217391304352</v>
      </c>
      <c r="K9" s="150" t="s">
        <v>9</v>
      </c>
      <c r="L9" s="151"/>
      <c r="M9" s="152"/>
      <c r="N9" s="51">
        <f>SUM(N6:N8)</f>
        <v>14111.295652173914</v>
      </c>
      <c r="P9" s="150" t="s">
        <v>9</v>
      </c>
      <c r="Q9" s="151"/>
      <c r="R9" s="152"/>
      <c r="S9" s="51">
        <f>SUM(S6:S8)</f>
        <v>10360.869565217392</v>
      </c>
      <c r="U9" s="150" t="s">
        <v>9</v>
      </c>
      <c r="V9" s="151"/>
      <c r="W9" s="152"/>
      <c r="X9" s="51">
        <f>SUM(X6:X8)</f>
        <v>16278.973913043479</v>
      </c>
      <c r="Y9" s="150" t="s">
        <v>9</v>
      </c>
      <c r="Z9" s="151"/>
      <c r="AA9" s="152"/>
      <c r="AB9" s="51">
        <f>SUM(AB6:AB8)</f>
        <v>0</v>
      </c>
      <c r="AD9" s="150" t="s">
        <v>9</v>
      </c>
      <c r="AE9" s="151"/>
      <c r="AF9" s="152"/>
      <c r="AG9" s="51">
        <f t="shared" si="0"/>
        <v>98568.530434782617</v>
      </c>
    </row>
    <row r="10" spans="1:33" ht="17.25" thickBot="1">
      <c r="A10" s="147" t="s">
        <v>39</v>
      </c>
      <c r="B10" s="148"/>
      <c r="C10" s="149"/>
      <c r="D10" s="50">
        <v>384.00009999999997</v>
      </c>
      <c r="F10" s="147" t="s">
        <v>39</v>
      </c>
      <c r="G10" s="148"/>
      <c r="H10" s="149"/>
      <c r="I10" s="50">
        <v>184</v>
      </c>
      <c r="K10" s="147" t="s">
        <v>39</v>
      </c>
      <c r="L10" s="148"/>
      <c r="M10" s="149"/>
      <c r="N10" s="50">
        <v>63.389999999999986</v>
      </c>
      <c r="P10" s="147" t="s">
        <v>39</v>
      </c>
      <c r="Q10" s="148"/>
      <c r="R10" s="149"/>
      <c r="S10" s="50">
        <v>66</v>
      </c>
      <c r="U10" s="147" t="s">
        <v>39</v>
      </c>
      <c r="V10" s="148"/>
      <c r="W10" s="149"/>
      <c r="X10" s="50">
        <v>46</v>
      </c>
      <c r="Y10" s="147" t="s">
        <v>39</v>
      </c>
      <c r="Z10" s="148"/>
      <c r="AA10" s="149"/>
      <c r="AB10" s="50">
        <v>184</v>
      </c>
      <c r="AD10" s="147" t="s">
        <v>39</v>
      </c>
      <c r="AE10" s="148"/>
      <c r="AF10" s="149"/>
      <c r="AG10" s="50">
        <f t="shared" si="0"/>
        <v>927.39009999999996</v>
      </c>
    </row>
    <row r="11" spans="1:33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50">
        <v>0</v>
      </c>
      <c r="U11" s="147" t="s">
        <v>40</v>
      </c>
      <c r="V11" s="148"/>
      <c r="W11" s="149"/>
      <c r="X11" s="50">
        <v>0</v>
      </c>
      <c r="Y11" s="147" t="s">
        <v>40</v>
      </c>
      <c r="Z11" s="148"/>
      <c r="AA11" s="149"/>
      <c r="AB11" s="50">
        <v>133</v>
      </c>
      <c r="AD11" s="147" t="s">
        <v>40</v>
      </c>
      <c r="AE11" s="148"/>
      <c r="AF11" s="149"/>
      <c r="AG11" s="50">
        <f t="shared" si="0"/>
        <v>133</v>
      </c>
    </row>
    <row r="12" spans="1:33" ht="17.25" thickBot="1">
      <c r="A12" s="147" t="s">
        <v>41</v>
      </c>
      <c r="B12" s="148"/>
      <c r="C12" s="149"/>
      <c r="D12" s="50">
        <v>97.740005010000004</v>
      </c>
      <c r="F12" s="147" t="s">
        <v>41</v>
      </c>
      <c r="G12" s="148"/>
      <c r="H12" s="149"/>
      <c r="I12" s="50">
        <v>159.85495253000002</v>
      </c>
      <c r="K12" s="147" t="s">
        <v>41</v>
      </c>
      <c r="L12" s="148"/>
      <c r="M12" s="149"/>
      <c r="N12" s="50">
        <v>81.550009599000006</v>
      </c>
      <c r="P12" s="147" t="s">
        <v>41</v>
      </c>
      <c r="Q12" s="148"/>
      <c r="R12" s="149"/>
      <c r="S12" s="50">
        <v>7.41</v>
      </c>
      <c r="U12" s="147" t="s">
        <v>41</v>
      </c>
      <c r="V12" s="148"/>
      <c r="W12" s="149"/>
      <c r="X12" s="50">
        <v>124.139999012</v>
      </c>
      <c r="Y12" s="147" t="s">
        <v>41</v>
      </c>
      <c r="Z12" s="148"/>
      <c r="AA12" s="149"/>
      <c r="AB12" s="50"/>
      <c r="AD12" s="147" t="s">
        <v>41</v>
      </c>
      <c r="AE12" s="148"/>
      <c r="AF12" s="149"/>
      <c r="AG12" s="50">
        <f t="shared" si="0"/>
        <v>470.69496615100002</v>
      </c>
    </row>
    <row r="13" spans="1:33" ht="17.25" thickBot="1">
      <c r="A13" s="147" t="s">
        <v>297</v>
      </c>
      <c r="B13" s="148"/>
      <c r="C13" s="149"/>
      <c r="D13" s="50">
        <v>215.5</v>
      </c>
      <c r="F13" s="147" t="s">
        <v>297</v>
      </c>
      <c r="G13" s="148"/>
      <c r="H13" s="149"/>
      <c r="I13" s="50">
        <v>3420.2999999999997</v>
      </c>
      <c r="K13" s="147" t="s">
        <v>297</v>
      </c>
      <c r="L13" s="148"/>
      <c r="M13" s="149"/>
      <c r="N13" s="50">
        <v>0</v>
      </c>
      <c r="P13" s="147" t="s">
        <v>297</v>
      </c>
      <c r="Q13" s="148"/>
      <c r="R13" s="149"/>
      <c r="S13" s="50">
        <v>0</v>
      </c>
      <c r="U13" s="147" t="s">
        <v>297</v>
      </c>
      <c r="V13" s="148"/>
      <c r="W13" s="149"/>
      <c r="X13" s="50">
        <v>0</v>
      </c>
      <c r="Y13" s="147" t="s">
        <v>297</v>
      </c>
      <c r="Z13" s="148"/>
      <c r="AA13" s="149"/>
      <c r="AB13" s="50">
        <v>80</v>
      </c>
      <c r="AD13" s="147" t="s">
        <v>297</v>
      </c>
      <c r="AE13" s="148"/>
      <c r="AF13" s="149"/>
      <c r="AG13" s="50">
        <f t="shared" si="0"/>
        <v>3715.7999999999997</v>
      </c>
    </row>
    <row r="14" spans="1:33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875.91399999999999</v>
      </c>
      <c r="K14" s="147" t="s">
        <v>43</v>
      </c>
      <c r="L14" s="148"/>
      <c r="M14" s="149"/>
      <c r="N14" s="50">
        <v>875.91</v>
      </c>
      <c r="P14" s="147" t="s">
        <v>43</v>
      </c>
      <c r="Q14" s="148"/>
      <c r="R14" s="149"/>
      <c r="S14" s="50">
        <v>875.91</v>
      </c>
      <c r="U14" s="147" t="s">
        <v>43</v>
      </c>
      <c r="V14" s="148"/>
      <c r="W14" s="149"/>
      <c r="X14" s="50">
        <v>875.91</v>
      </c>
      <c r="Y14" s="147" t="s">
        <v>43</v>
      </c>
      <c r="Z14" s="148"/>
      <c r="AA14" s="149"/>
      <c r="AB14" s="50">
        <v>875.91</v>
      </c>
      <c r="AD14" s="147" t="s">
        <v>43</v>
      </c>
      <c r="AE14" s="148"/>
      <c r="AF14" s="149"/>
      <c r="AG14" s="50">
        <f t="shared" si="0"/>
        <v>4379.5540000000001</v>
      </c>
    </row>
    <row r="15" spans="1:33" ht="17.25" thickBot="1">
      <c r="A15" s="147" t="s">
        <v>44</v>
      </c>
      <c r="B15" s="148"/>
      <c r="C15" s="149"/>
      <c r="D15" s="50">
        <v>405</v>
      </c>
      <c r="F15" s="147" t="s">
        <v>44</v>
      </c>
      <c r="G15" s="148"/>
      <c r="H15" s="149"/>
      <c r="I15" s="50">
        <v>283.04000000000002</v>
      </c>
      <c r="K15" s="147" t="s">
        <v>44</v>
      </c>
      <c r="L15" s="148"/>
      <c r="M15" s="149"/>
      <c r="N15" s="50">
        <v>240</v>
      </c>
      <c r="P15" s="147" t="s">
        <v>44</v>
      </c>
      <c r="Q15" s="148"/>
      <c r="R15" s="149"/>
      <c r="S15" s="50">
        <v>375</v>
      </c>
      <c r="U15" s="147" t="s">
        <v>44</v>
      </c>
      <c r="V15" s="148"/>
      <c r="W15" s="149"/>
      <c r="X15" s="50">
        <v>240</v>
      </c>
      <c r="Y15" s="147" t="s">
        <v>44</v>
      </c>
      <c r="Z15" s="148"/>
      <c r="AA15" s="149"/>
      <c r="AB15" s="50"/>
      <c r="AD15" s="147" t="s">
        <v>44</v>
      </c>
      <c r="AE15" s="148"/>
      <c r="AF15" s="149"/>
      <c r="AG15" s="50">
        <f t="shared" si="0"/>
        <v>1543.04</v>
      </c>
    </row>
    <row r="16" spans="1:33" ht="17.25" thickBot="1">
      <c r="A16" s="147" t="s">
        <v>298</v>
      </c>
      <c r="B16" s="148"/>
      <c r="C16" s="149"/>
      <c r="D16" s="50">
        <v>1050</v>
      </c>
      <c r="F16" s="147" t="s">
        <v>298</v>
      </c>
      <c r="G16" s="148"/>
      <c r="H16" s="149"/>
      <c r="I16" s="50">
        <v>57.5</v>
      </c>
      <c r="K16" s="147" t="s">
        <v>298</v>
      </c>
      <c r="L16" s="148"/>
      <c r="M16" s="149"/>
      <c r="N16" s="50">
        <v>0</v>
      </c>
      <c r="P16" s="147" t="s">
        <v>298</v>
      </c>
      <c r="Q16" s="148"/>
      <c r="R16" s="149"/>
      <c r="S16" s="50"/>
      <c r="U16" s="147" t="s">
        <v>298</v>
      </c>
      <c r="V16" s="148"/>
      <c r="W16" s="149"/>
      <c r="X16" s="50">
        <v>0</v>
      </c>
      <c r="Y16" s="147" t="s">
        <v>298</v>
      </c>
      <c r="Z16" s="148"/>
      <c r="AA16" s="149"/>
      <c r="AB16" s="50">
        <v>525</v>
      </c>
      <c r="AD16" s="147" t="s">
        <v>298</v>
      </c>
      <c r="AE16" s="148"/>
      <c r="AF16" s="149"/>
      <c r="AG16" s="50">
        <f t="shared" si="0"/>
        <v>1632.5</v>
      </c>
    </row>
    <row r="17" spans="1:33" ht="17.25" thickBot="1">
      <c r="A17" s="153" t="s">
        <v>48</v>
      </c>
      <c r="B17" s="154"/>
      <c r="C17" s="155"/>
      <c r="D17" s="52">
        <f>SUM(D10:D16)</f>
        <v>2152.2401050099998</v>
      </c>
      <c r="F17" s="153" t="s">
        <v>48</v>
      </c>
      <c r="G17" s="154"/>
      <c r="H17" s="155"/>
      <c r="I17" s="52">
        <f>SUM(I10:I16)</f>
        <v>4980.6089525299994</v>
      </c>
      <c r="K17" s="153" t="s">
        <v>48</v>
      </c>
      <c r="L17" s="154"/>
      <c r="M17" s="155"/>
      <c r="N17" s="52">
        <f>SUM(N10:N16)</f>
        <v>1260.850009599</v>
      </c>
      <c r="P17" s="153" t="s">
        <v>48</v>
      </c>
      <c r="Q17" s="154"/>
      <c r="R17" s="155"/>
      <c r="S17" s="52">
        <f>SUM(S10:S16)</f>
        <v>1324.32</v>
      </c>
      <c r="U17" s="153" t="s">
        <v>48</v>
      </c>
      <c r="V17" s="154"/>
      <c r="W17" s="155"/>
      <c r="X17" s="52">
        <f>SUM(X10:X16)</f>
        <v>1286.0499990119999</v>
      </c>
      <c r="Y17" s="153" t="s">
        <v>48</v>
      </c>
      <c r="Z17" s="154"/>
      <c r="AA17" s="155"/>
      <c r="AB17" s="52">
        <f>SUM(AB10:AB16)</f>
        <v>1797.9099999999999</v>
      </c>
      <c r="AD17" s="153" t="s">
        <v>48</v>
      </c>
      <c r="AE17" s="154"/>
      <c r="AF17" s="155"/>
      <c r="AG17" s="52">
        <f t="shared" si="0"/>
        <v>12801.979066151</v>
      </c>
    </row>
    <row r="18" spans="1:33" ht="17.25" thickBot="1">
      <c r="A18" s="156" t="s">
        <v>10</v>
      </c>
      <c r="B18" s="157"/>
      <c r="C18" s="158"/>
      <c r="D18" s="53">
        <f>D9-D17</f>
        <v>18599.933808033478</v>
      </c>
      <c r="F18" s="156" t="s">
        <v>10</v>
      </c>
      <c r="G18" s="157"/>
      <c r="H18" s="158"/>
      <c r="I18" s="53">
        <f>I9-I17</f>
        <v>32084.608438774354</v>
      </c>
      <c r="K18" s="156" t="s">
        <v>10</v>
      </c>
      <c r="L18" s="157"/>
      <c r="M18" s="158"/>
      <c r="N18" s="53">
        <f>N9-N17</f>
        <v>12850.445642574914</v>
      </c>
      <c r="P18" s="156" t="s">
        <v>10</v>
      </c>
      <c r="Q18" s="157"/>
      <c r="R18" s="158"/>
      <c r="S18" s="53">
        <f>S9-S17</f>
        <v>9036.5495652173922</v>
      </c>
      <c r="U18" s="156" t="s">
        <v>10</v>
      </c>
      <c r="V18" s="157"/>
      <c r="W18" s="158"/>
      <c r="X18" s="53">
        <f>X9-X17</f>
        <v>14992.923914031478</v>
      </c>
      <c r="Y18" s="156" t="s">
        <v>10</v>
      </c>
      <c r="Z18" s="157"/>
      <c r="AA18" s="158"/>
      <c r="AB18" s="53">
        <f>AB9-AB17</f>
        <v>-1797.9099999999999</v>
      </c>
      <c r="AD18" s="156" t="s">
        <v>10</v>
      </c>
      <c r="AE18" s="157"/>
      <c r="AF18" s="158"/>
      <c r="AG18" s="53">
        <f t="shared" si="0"/>
        <v>85766.551368631612</v>
      </c>
    </row>
    <row r="19" spans="1:33" ht="17.25" thickBot="1">
      <c r="A19" s="147" t="s">
        <v>20</v>
      </c>
      <c r="B19" s="148"/>
      <c r="C19" s="149"/>
      <c r="D19" s="50">
        <f>D18*0.3</f>
        <v>5579.9801424100433</v>
      </c>
      <c r="F19" s="147" t="s">
        <v>20</v>
      </c>
      <c r="G19" s="148"/>
      <c r="H19" s="149"/>
      <c r="I19" s="50">
        <f>I18*0.3</f>
        <v>9625.3825316323055</v>
      </c>
      <c r="K19" s="147" t="s">
        <v>20</v>
      </c>
      <c r="L19" s="148"/>
      <c r="M19" s="149"/>
      <c r="N19" s="50">
        <f>N18*0.3</f>
        <v>3855.1336927724742</v>
      </c>
      <c r="P19" s="147" t="s">
        <v>20</v>
      </c>
      <c r="Q19" s="148"/>
      <c r="R19" s="149"/>
      <c r="S19" s="50">
        <f>S18*0.3</f>
        <v>2710.9648695652177</v>
      </c>
      <c r="U19" s="147" t="s">
        <v>20</v>
      </c>
      <c r="V19" s="148"/>
      <c r="W19" s="149"/>
      <c r="X19" s="50">
        <f>X18*0.3</f>
        <v>4497.8771742094432</v>
      </c>
      <c r="Y19" s="147" t="s">
        <v>20</v>
      </c>
      <c r="Z19" s="148"/>
      <c r="AA19" s="149"/>
      <c r="AB19" s="50">
        <v>0</v>
      </c>
      <c r="AD19" s="147" t="s">
        <v>20</v>
      </c>
      <c r="AE19" s="148"/>
      <c r="AF19" s="149"/>
      <c r="AG19" s="50">
        <f t="shared" si="0"/>
        <v>26269.338410589484</v>
      </c>
    </row>
    <row r="20" spans="1:33" ht="17.25" thickBot="1">
      <c r="A20" s="159" t="s">
        <v>21</v>
      </c>
      <c r="B20" s="160"/>
      <c r="C20" s="161"/>
      <c r="D20" s="54">
        <f>D18-D19</f>
        <v>13019.953665623434</v>
      </c>
      <c r="F20" s="159" t="s">
        <v>21</v>
      </c>
      <c r="G20" s="160"/>
      <c r="H20" s="161"/>
      <c r="I20" s="54">
        <f>I18-I19</f>
        <v>22459.225907142049</v>
      </c>
      <c r="K20" s="159" t="s">
        <v>21</v>
      </c>
      <c r="L20" s="160"/>
      <c r="M20" s="161"/>
      <c r="N20" s="54">
        <f>N18-N19</f>
        <v>8995.3119498024389</v>
      </c>
      <c r="P20" s="159" t="s">
        <v>21</v>
      </c>
      <c r="Q20" s="160"/>
      <c r="R20" s="161"/>
      <c r="S20" s="54">
        <f>S18-S19</f>
        <v>6325.5846956521746</v>
      </c>
      <c r="U20" s="159" t="s">
        <v>21</v>
      </c>
      <c r="V20" s="160"/>
      <c r="W20" s="161"/>
      <c r="X20" s="54">
        <f>X18-X19</f>
        <v>10495.046739822035</v>
      </c>
      <c r="Y20" s="159" t="s">
        <v>21</v>
      </c>
      <c r="Z20" s="160"/>
      <c r="AA20" s="161"/>
      <c r="AB20" s="54">
        <f>AB18-AB19</f>
        <v>-1797.9099999999999</v>
      </c>
      <c r="AD20" s="159" t="s">
        <v>21</v>
      </c>
      <c r="AE20" s="160"/>
      <c r="AF20" s="161"/>
      <c r="AG20" s="54">
        <f t="shared" si="0"/>
        <v>59497.212958042132</v>
      </c>
    </row>
    <row r="21" spans="1:33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/>
      <c r="P21" s="147" t="s">
        <v>11</v>
      </c>
      <c r="Q21" s="148"/>
      <c r="R21" s="149"/>
      <c r="S21" s="50"/>
      <c r="U21" s="147" t="s">
        <v>11</v>
      </c>
      <c r="V21" s="148"/>
      <c r="W21" s="149"/>
      <c r="X21" s="50"/>
      <c r="Y21" s="147" t="s">
        <v>11</v>
      </c>
      <c r="Z21" s="148"/>
      <c r="AA21" s="149"/>
      <c r="AB21" s="50">
        <v>0</v>
      </c>
      <c r="AD21" s="147" t="s">
        <v>11</v>
      </c>
      <c r="AE21" s="148"/>
      <c r="AF21" s="149"/>
      <c r="AG21" s="50">
        <f t="shared" si="0"/>
        <v>0</v>
      </c>
    </row>
    <row r="22" spans="1:33" ht="17.25" thickBot="1">
      <c r="A22" s="150" t="s">
        <v>12</v>
      </c>
      <c r="B22" s="151"/>
      <c r="C22" s="152"/>
      <c r="D22" s="51">
        <f>D20-D21</f>
        <v>13019.953665623434</v>
      </c>
      <c r="F22" s="150" t="s">
        <v>12</v>
      </c>
      <c r="G22" s="151"/>
      <c r="H22" s="152"/>
      <c r="I22" s="51">
        <f>I20-I21</f>
        <v>22459.225907142049</v>
      </c>
      <c r="K22" s="150" t="s">
        <v>12</v>
      </c>
      <c r="L22" s="151"/>
      <c r="M22" s="152"/>
      <c r="N22" s="51">
        <f>N20-N21</f>
        <v>8995.3119498024389</v>
      </c>
      <c r="P22" s="150" t="s">
        <v>12</v>
      </c>
      <c r="Q22" s="151"/>
      <c r="R22" s="152"/>
      <c r="S22" s="51">
        <f>S20-S21</f>
        <v>6325.5846956521746</v>
      </c>
      <c r="U22" s="150" t="s">
        <v>12</v>
      </c>
      <c r="V22" s="151"/>
      <c r="W22" s="152"/>
      <c r="X22" s="51">
        <f>X20-X21</f>
        <v>10495.046739822035</v>
      </c>
      <c r="Y22" s="150" t="s">
        <v>12</v>
      </c>
      <c r="Z22" s="151"/>
      <c r="AA22" s="152"/>
      <c r="AB22" s="51">
        <f>AB20-AB21</f>
        <v>-1797.9099999999999</v>
      </c>
      <c r="AD22" s="150" t="s">
        <v>12</v>
      </c>
      <c r="AE22" s="151"/>
      <c r="AF22" s="152"/>
      <c r="AG22" s="51">
        <f t="shared" si="0"/>
        <v>59497.212958042132</v>
      </c>
    </row>
    <row r="23" spans="1:33" ht="17.25" thickBot="1">
      <c r="A23" s="150" t="s">
        <v>299</v>
      </c>
      <c r="B23" s="151" t="s">
        <v>299</v>
      </c>
      <c r="C23" s="152"/>
      <c r="D23" s="51"/>
      <c r="F23" s="150" t="s">
        <v>299</v>
      </c>
      <c r="G23" s="151" t="s">
        <v>299</v>
      </c>
      <c r="H23" s="152"/>
      <c r="I23" s="51"/>
      <c r="K23" s="150" t="s">
        <v>299</v>
      </c>
      <c r="L23" s="151" t="s">
        <v>299</v>
      </c>
      <c r="M23" s="152"/>
      <c r="N23" s="51"/>
      <c r="P23" s="150" t="s">
        <v>299</v>
      </c>
      <c r="Q23" s="151" t="s">
        <v>299</v>
      </c>
      <c r="R23" s="152"/>
      <c r="S23" s="51"/>
      <c r="U23" s="150" t="s">
        <v>299</v>
      </c>
      <c r="V23" s="151" t="s">
        <v>299</v>
      </c>
      <c r="W23" s="152"/>
      <c r="X23" s="51"/>
      <c r="Y23" s="150" t="s">
        <v>299</v>
      </c>
      <c r="Z23" s="151" t="s">
        <v>299</v>
      </c>
      <c r="AA23" s="152"/>
      <c r="AB23" s="51">
        <v>0</v>
      </c>
      <c r="AD23" s="150" t="s">
        <v>299</v>
      </c>
      <c r="AE23" s="151" t="s">
        <v>299</v>
      </c>
      <c r="AF23" s="152"/>
      <c r="AG23" s="51">
        <f t="shared" si="0"/>
        <v>0</v>
      </c>
    </row>
    <row r="24" spans="1:33" ht="17.25" thickBot="1">
      <c r="A24" s="150" t="s">
        <v>300</v>
      </c>
      <c r="B24" s="151" t="s">
        <v>300</v>
      </c>
      <c r="C24" s="152"/>
      <c r="D24" s="51">
        <f>D22+D23</f>
        <v>13019.953665623434</v>
      </c>
      <c r="F24" s="150" t="s">
        <v>300</v>
      </c>
      <c r="G24" s="151" t="s">
        <v>300</v>
      </c>
      <c r="H24" s="152"/>
      <c r="I24" s="51">
        <f>I22+I23</f>
        <v>22459.225907142049</v>
      </c>
      <c r="K24" s="150" t="s">
        <v>300</v>
      </c>
      <c r="L24" s="151" t="s">
        <v>300</v>
      </c>
      <c r="M24" s="152"/>
      <c r="N24" s="51">
        <f>N22+N23</f>
        <v>8995.3119498024389</v>
      </c>
      <c r="P24" s="150" t="s">
        <v>300</v>
      </c>
      <c r="Q24" s="151" t="s">
        <v>300</v>
      </c>
      <c r="R24" s="152"/>
      <c r="S24" s="51">
        <f>S22+S23</f>
        <v>6325.5846956521746</v>
      </c>
      <c r="U24" s="150" t="s">
        <v>300</v>
      </c>
      <c r="V24" s="151" t="s">
        <v>300</v>
      </c>
      <c r="W24" s="152"/>
      <c r="X24" s="51">
        <f>X22+X23</f>
        <v>10495.046739822035</v>
      </c>
      <c r="Y24" s="150" t="s">
        <v>300</v>
      </c>
      <c r="Z24" s="151" t="s">
        <v>300</v>
      </c>
      <c r="AA24" s="152"/>
      <c r="AB24" s="51">
        <f>AB22+AB23</f>
        <v>-1797.9099999999999</v>
      </c>
      <c r="AD24" s="150" t="s">
        <v>300</v>
      </c>
      <c r="AE24" s="151" t="s">
        <v>300</v>
      </c>
      <c r="AF24" s="152"/>
      <c r="AG24" s="51">
        <f>D24+I24+N24+S24+X24+AB24</f>
        <v>59497.212958042132</v>
      </c>
    </row>
    <row r="25" spans="1:33" ht="16.5">
      <c r="L25" s="122" t="s">
        <v>311</v>
      </c>
      <c r="M25" s="122"/>
      <c r="N25" s="122">
        <v>50571</v>
      </c>
      <c r="Q25" s="122" t="s">
        <v>311</v>
      </c>
      <c r="R25" s="122"/>
      <c r="S25" s="122">
        <v>50571</v>
      </c>
      <c r="V25" s="122" t="s">
        <v>311</v>
      </c>
      <c r="W25" s="122"/>
      <c r="X25" s="122">
        <v>50571</v>
      </c>
      <c r="Y25" s="12" t="s">
        <v>24</v>
      </c>
      <c r="Z25" s="4"/>
      <c r="AA25" s="4"/>
      <c r="AB25" s="5"/>
      <c r="AD25" s="166" t="s">
        <v>318</v>
      </c>
      <c r="AE25" s="166"/>
      <c r="AF25" s="166"/>
      <c r="AG25" s="1">
        <v>128000</v>
      </c>
    </row>
    <row r="26" spans="1:33" ht="43.5" customHeight="1">
      <c r="Y26" s="15" t="s">
        <v>13</v>
      </c>
      <c r="Z26" s="15" t="s">
        <v>29</v>
      </c>
      <c r="AA26" s="15" t="s">
        <v>25</v>
      </c>
      <c r="AB26" s="16" t="s">
        <v>7</v>
      </c>
      <c r="AD26" s="165" t="s">
        <v>319</v>
      </c>
      <c r="AE26" s="165"/>
      <c r="AF26" s="165"/>
      <c r="AG26" s="121">
        <f>50571*3</f>
        <v>151713</v>
      </c>
    </row>
    <row r="27" spans="1:33" ht="24">
      <c r="Y27" s="24" t="s">
        <v>134</v>
      </c>
      <c r="Z27" s="25">
        <v>45220</v>
      </c>
      <c r="AA27" s="26">
        <v>401014501694085</v>
      </c>
      <c r="AB27" s="84">
        <v>15279.12</v>
      </c>
      <c r="AD27" s="164" t="s">
        <v>317</v>
      </c>
      <c r="AE27" s="164"/>
      <c r="AF27" s="164"/>
      <c r="AG27" s="123">
        <f>AG24+AG25-AG26</f>
        <v>35784.212958042132</v>
      </c>
    </row>
  </sheetData>
  <mergeCells count="178">
    <mergeCell ref="AD27:AF27"/>
    <mergeCell ref="AD26:AF26"/>
    <mergeCell ref="AD25:AF25"/>
    <mergeCell ref="AD24:AF24"/>
    <mergeCell ref="A24:C24"/>
    <mergeCell ref="F24:H24"/>
    <mergeCell ref="K24:M24"/>
    <mergeCell ref="P24:R24"/>
    <mergeCell ref="U24:W24"/>
    <mergeCell ref="Y24:AA24"/>
    <mergeCell ref="AD22:AF22"/>
    <mergeCell ref="A23:C23"/>
    <mergeCell ref="F23:H23"/>
    <mergeCell ref="K23:M23"/>
    <mergeCell ref="P23:R23"/>
    <mergeCell ref="U23:W23"/>
    <mergeCell ref="Y23:AA23"/>
    <mergeCell ref="AD23:AF23"/>
    <mergeCell ref="A22:C22"/>
    <mergeCell ref="F22:H22"/>
    <mergeCell ref="K22:M22"/>
    <mergeCell ref="P22:R22"/>
    <mergeCell ref="U22:W22"/>
    <mergeCell ref="Y22:AA22"/>
    <mergeCell ref="AD20:AF20"/>
    <mergeCell ref="A21:C21"/>
    <mergeCell ref="F21:H21"/>
    <mergeCell ref="K21:M21"/>
    <mergeCell ref="P21:R21"/>
    <mergeCell ref="U21:W21"/>
    <mergeCell ref="Y21:AA21"/>
    <mergeCell ref="AD21:AF21"/>
    <mergeCell ref="A20:C20"/>
    <mergeCell ref="F20:H20"/>
    <mergeCell ref="K20:M20"/>
    <mergeCell ref="P20:R20"/>
    <mergeCell ref="U20:W20"/>
    <mergeCell ref="Y20:AA20"/>
    <mergeCell ref="AD18:AF18"/>
    <mergeCell ref="A19:C19"/>
    <mergeCell ref="F19:H19"/>
    <mergeCell ref="K19:M19"/>
    <mergeCell ref="P19:R19"/>
    <mergeCell ref="U19:W19"/>
    <mergeCell ref="Y19:AA19"/>
    <mergeCell ref="AD19:AF19"/>
    <mergeCell ref="A18:C18"/>
    <mergeCell ref="F18:H18"/>
    <mergeCell ref="K18:M18"/>
    <mergeCell ref="P18:R18"/>
    <mergeCell ref="U18:W18"/>
    <mergeCell ref="Y18:AA18"/>
    <mergeCell ref="AD16:AF16"/>
    <mergeCell ref="A17:C17"/>
    <mergeCell ref="F17:H17"/>
    <mergeCell ref="K17:M17"/>
    <mergeCell ref="P17:R17"/>
    <mergeCell ref="U17:W17"/>
    <mergeCell ref="Y17:AA17"/>
    <mergeCell ref="AD17:AF17"/>
    <mergeCell ref="A16:C16"/>
    <mergeCell ref="F16:H16"/>
    <mergeCell ref="K16:M16"/>
    <mergeCell ref="P16:R16"/>
    <mergeCell ref="U16:W16"/>
    <mergeCell ref="Y16:AA16"/>
    <mergeCell ref="AD14:AF14"/>
    <mergeCell ref="A15:C15"/>
    <mergeCell ref="F15:H15"/>
    <mergeCell ref="K15:M15"/>
    <mergeCell ref="P15:R15"/>
    <mergeCell ref="U15:W15"/>
    <mergeCell ref="Y15:AA15"/>
    <mergeCell ref="AD15:AF15"/>
    <mergeCell ref="A14:C14"/>
    <mergeCell ref="F14:H14"/>
    <mergeCell ref="K14:M14"/>
    <mergeCell ref="P14:R14"/>
    <mergeCell ref="U14:W14"/>
    <mergeCell ref="Y14:AA14"/>
    <mergeCell ref="AD12:AF12"/>
    <mergeCell ref="A13:C13"/>
    <mergeCell ref="F13:H13"/>
    <mergeCell ref="K13:M13"/>
    <mergeCell ref="P13:R13"/>
    <mergeCell ref="U13:W13"/>
    <mergeCell ref="Y13:AA13"/>
    <mergeCell ref="AD13:AF13"/>
    <mergeCell ref="A12:C12"/>
    <mergeCell ref="F12:H12"/>
    <mergeCell ref="K12:M12"/>
    <mergeCell ref="P12:R12"/>
    <mergeCell ref="U12:W12"/>
    <mergeCell ref="Y12:AA12"/>
    <mergeCell ref="AD10:AF10"/>
    <mergeCell ref="A11:C11"/>
    <mergeCell ref="F11:H11"/>
    <mergeCell ref="K11:M11"/>
    <mergeCell ref="P11:R11"/>
    <mergeCell ref="U11:W11"/>
    <mergeCell ref="Y11:AA11"/>
    <mergeCell ref="AD11:AF11"/>
    <mergeCell ref="A10:C10"/>
    <mergeCell ref="F10:H10"/>
    <mergeCell ref="K10:M10"/>
    <mergeCell ref="P10:R10"/>
    <mergeCell ref="U10:W10"/>
    <mergeCell ref="Y10:AA10"/>
    <mergeCell ref="AD8:AF8"/>
    <mergeCell ref="A9:C9"/>
    <mergeCell ref="F9:H9"/>
    <mergeCell ref="K9:M9"/>
    <mergeCell ref="P9:R9"/>
    <mergeCell ref="U9:W9"/>
    <mergeCell ref="Y9:AA9"/>
    <mergeCell ref="AD9:AF9"/>
    <mergeCell ref="A8:C8"/>
    <mergeCell ref="F8:H8"/>
    <mergeCell ref="K8:M8"/>
    <mergeCell ref="P8:R8"/>
    <mergeCell ref="U8:W8"/>
    <mergeCell ref="Y8:AA8"/>
    <mergeCell ref="AD6:AF6"/>
    <mergeCell ref="A7:C7"/>
    <mergeCell ref="F7:H7"/>
    <mergeCell ref="K7:M7"/>
    <mergeCell ref="P7:R7"/>
    <mergeCell ref="U7:W7"/>
    <mergeCell ref="Y7:AA7"/>
    <mergeCell ref="AD7:AF7"/>
    <mergeCell ref="A6:C6"/>
    <mergeCell ref="F6:H6"/>
    <mergeCell ref="K6:M6"/>
    <mergeCell ref="P6:R6"/>
    <mergeCell ref="U6:W6"/>
    <mergeCell ref="Y6:AA6"/>
    <mergeCell ref="A3:B3"/>
    <mergeCell ref="C3:D3"/>
    <mergeCell ref="F3:G3"/>
    <mergeCell ref="H3:I3"/>
    <mergeCell ref="K3:L3"/>
    <mergeCell ref="AA3:AB3"/>
    <mergeCell ref="AD3:AE3"/>
    <mergeCell ref="AF3:AG3"/>
    <mergeCell ref="A5:C5"/>
    <mergeCell ref="F5:H5"/>
    <mergeCell ref="K5:M5"/>
    <mergeCell ref="P5:R5"/>
    <mergeCell ref="U5:W5"/>
    <mergeCell ref="Y5:AA5"/>
    <mergeCell ref="AD5:AF5"/>
    <mergeCell ref="M3:N3"/>
    <mergeCell ref="P3:Q3"/>
    <mergeCell ref="R3:S3"/>
    <mergeCell ref="U3:V3"/>
    <mergeCell ref="W3:X3"/>
    <mergeCell ref="Y3:Z3"/>
    <mergeCell ref="AD1:AG1"/>
    <mergeCell ref="A2:B2"/>
    <mergeCell ref="C2:D2"/>
    <mergeCell ref="F2:G2"/>
    <mergeCell ref="H2:I2"/>
    <mergeCell ref="K2:L2"/>
    <mergeCell ref="M2:N2"/>
    <mergeCell ref="P2:Q2"/>
    <mergeCell ref="R2:S2"/>
    <mergeCell ref="U2:V2"/>
    <mergeCell ref="A1:D1"/>
    <mergeCell ref="F1:I1"/>
    <mergeCell ref="K1:N1"/>
    <mergeCell ref="P1:S1"/>
    <mergeCell ref="U1:X1"/>
    <mergeCell ref="Y1:AB1"/>
    <mergeCell ref="W2:X2"/>
    <mergeCell ref="Y2:Z2"/>
    <mergeCell ref="AA2:AB2"/>
    <mergeCell ref="AD2:AE2"/>
    <mergeCell ref="AF2:A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7515-7846-45B0-BD06-10AEEB94720A}">
  <sheetPr>
    <tabColor rgb="FFFF0000"/>
  </sheetPr>
  <dimension ref="A1:N804"/>
  <sheetViews>
    <sheetView rightToLeft="1" zoomScale="108" workbookViewId="0">
      <selection activeCell="F28" sqref="A16:H28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0.875" style="47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0.875" style="104" customWidth="1"/>
    <col min="11" max="11" width="18" customWidth="1"/>
    <col min="12" max="12" width="12.625" customWidth="1"/>
    <col min="13" max="13" width="22.5" customWidth="1"/>
    <col min="14" max="14" width="16.625" customWidth="1"/>
  </cols>
  <sheetData>
    <row r="1" spans="1:14" ht="18" thickBot="1">
      <c r="A1" s="135" t="s">
        <v>309</v>
      </c>
      <c r="B1" s="135"/>
      <c r="C1" s="135"/>
      <c r="D1" s="135"/>
      <c r="F1" s="135" t="s">
        <v>309</v>
      </c>
      <c r="G1" s="135"/>
      <c r="H1" s="135"/>
      <c r="I1" s="135"/>
      <c r="K1" s="135" t="s">
        <v>309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18</v>
      </c>
      <c r="D2" s="137"/>
      <c r="F2" s="136" t="s">
        <v>1</v>
      </c>
      <c r="G2" s="136"/>
      <c r="H2" s="137" t="s">
        <v>130</v>
      </c>
      <c r="I2" s="137"/>
      <c r="K2" s="136" t="s">
        <v>1</v>
      </c>
      <c r="L2" s="136"/>
      <c r="M2" s="137" t="str">
        <f>H2&amp;" - "&amp;C2</f>
        <v>يارس فضي 2021  - يارس أبيض 2021</v>
      </c>
      <c r="N2" s="137"/>
    </row>
    <row r="3" spans="1:14" ht="21" thickBot="1">
      <c r="A3" s="136" t="s">
        <v>2</v>
      </c>
      <c r="B3" s="136"/>
      <c r="C3" s="142" t="s">
        <v>185</v>
      </c>
      <c r="D3" s="143"/>
      <c r="F3" s="136" t="s">
        <v>2</v>
      </c>
      <c r="G3" s="136"/>
      <c r="H3" s="142" t="s">
        <v>131</v>
      </c>
      <c r="I3" s="143"/>
      <c r="K3" s="136" t="s">
        <v>2</v>
      </c>
      <c r="L3" s="136"/>
      <c r="M3" s="142" t="str">
        <f>C3&amp;"-"&amp;H3</f>
        <v xml:space="preserve">2075 DHU-2064 د ه و </v>
      </c>
      <c r="N3" s="143"/>
    </row>
    <row r="4" spans="1:14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26802.608695652176</v>
      </c>
      <c r="F6" s="147" t="s">
        <v>294</v>
      </c>
      <c r="G6" s="148"/>
      <c r="H6" s="149"/>
      <c r="I6" s="50">
        <v>21913.043478260872</v>
      </c>
      <c r="K6" s="147" t="s">
        <v>294</v>
      </c>
      <c r="L6" s="148"/>
      <c r="M6" s="149"/>
      <c r="N6" s="50">
        <f>D6+I6</f>
        <v>48715.652173913048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1969.75</v>
      </c>
      <c r="K7" s="147" t="s">
        <v>295</v>
      </c>
      <c r="L7" s="148"/>
      <c r="M7" s="149"/>
      <c r="N7" s="50">
        <f t="shared" ref="N7:N23" si="0">D7+I7</f>
        <v>1969.75</v>
      </c>
    </row>
    <row r="8" spans="1:14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26802.608695652176</v>
      </c>
      <c r="F9" s="150" t="s">
        <v>9</v>
      </c>
      <c r="G9" s="151"/>
      <c r="H9" s="152"/>
      <c r="I9" s="51">
        <f>SUM(I6:I8)</f>
        <v>23882.793478260872</v>
      </c>
      <c r="K9" s="150" t="s">
        <v>9</v>
      </c>
      <c r="L9" s="151"/>
      <c r="M9" s="152"/>
      <c r="N9" s="51">
        <f>D9+I9</f>
        <v>50685.402173913048</v>
      </c>
    </row>
    <row r="10" spans="1:14" ht="17.25" thickBot="1">
      <c r="A10" s="147" t="s">
        <v>39</v>
      </c>
      <c r="B10" s="148"/>
      <c r="C10" s="149"/>
      <c r="D10" s="50">
        <v>814.7201</v>
      </c>
      <c r="F10" s="147" t="s">
        <v>39</v>
      </c>
      <c r="G10" s="148"/>
      <c r="H10" s="149"/>
      <c r="I10" s="50">
        <v>204</v>
      </c>
      <c r="K10" s="147" t="s">
        <v>39</v>
      </c>
      <c r="L10" s="148"/>
      <c r="M10" s="149"/>
      <c r="N10" s="50">
        <f t="shared" si="0"/>
        <v>1018.7201</v>
      </c>
    </row>
    <row r="11" spans="1:14" ht="17.25" thickBot="1">
      <c r="A11" s="147" t="s">
        <v>40</v>
      </c>
      <c r="B11" s="148"/>
      <c r="C11" s="149"/>
      <c r="D11" s="50">
        <v>100</v>
      </c>
      <c r="F11" s="147" t="s">
        <v>40</v>
      </c>
      <c r="G11" s="148"/>
      <c r="H11" s="149"/>
      <c r="I11" s="50">
        <v>100</v>
      </c>
      <c r="K11" s="147" t="s">
        <v>40</v>
      </c>
      <c r="L11" s="148"/>
      <c r="M11" s="149"/>
      <c r="N11" s="50">
        <f t="shared" si="0"/>
        <v>200</v>
      </c>
    </row>
    <row r="12" spans="1:14" ht="17.25" thickBot="1">
      <c r="A12" s="147" t="s">
        <v>41</v>
      </c>
      <c r="B12" s="148"/>
      <c r="C12" s="149"/>
      <c r="D12" s="50">
        <v>108.36039622800001</v>
      </c>
      <c r="F12" s="147" t="s">
        <v>41</v>
      </c>
      <c r="G12" s="148"/>
      <c r="H12" s="149"/>
      <c r="I12" s="50">
        <v>1.9</v>
      </c>
      <c r="K12" s="147" t="s">
        <v>41</v>
      </c>
      <c r="L12" s="148"/>
      <c r="M12" s="149"/>
      <c r="N12" s="50">
        <f t="shared" si="0"/>
        <v>110.26039622800002</v>
      </c>
    </row>
    <row r="13" spans="1:14" ht="17.25" thickBot="1">
      <c r="A13" s="147" t="s">
        <v>297</v>
      </c>
      <c r="B13" s="148"/>
      <c r="C13" s="149"/>
      <c r="D13" s="50">
        <v>3252.7809999999999</v>
      </c>
      <c r="F13" s="147" t="s">
        <v>297</v>
      </c>
      <c r="G13" s="148"/>
      <c r="H13" s="149"/>
      <c r="I13" s="50">
        <v>1654.3300000000002</v>
      </c>
      <c r="K13" s="147" t="s">
        <v>297</v>
      </c>
      <c r="L13" s="148"/>
      <c r="M13" s="149"/>
      <c r="N13" s="50">
        <f t="shared" si="0"/>
        <v>4907.1109999999999</v>
      </c>
    </row>
    <row r="14" spans="1:14" ht="17.25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f t="shared" si="0"/>
        <v>1751.82</v>
      </c>
    </row>
    <row r="15" spans="1:14" ht="17.25" thickBot="1">
      <c r="A15" s="147" t="s">
        <v>44</v>
      </c>
      <c r="B15" s="148"/>
      <c r="C15" s="149"/>
      <c r="D15" s="50">
        <v>924.11999999999989</v>
      </c>
      <c r="F15" s="147" t="s">
        <v>44</v>
      </c>
      <c r="G15" s="148"/>
      <c r="H15" s="149"/>
      <c r="I15" s="50">
        <v>133.04</v>
      </c>
      <c r="K15" s="147" t="s">
        <v>44</v>
      </c>
      <c r="L15" s="148"/>
      <c r="M15" s="149"/>
      <c r="N15" s="50">
        <f t="shared" si="0"/>
        <v>1057.1599999999999</v>
      </c>
    </row>
    <row r="16" spans="1:14" ht="17.25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550</v>
      </c>
      <c r="K16" s="147" t="s">
        <v>298</v>
      </c>
      <c r="L16" s="148"/>
      <c r="M16" s="149"/>
      <c r="N16" s="50">
        <f t="shared" si="0"/>
        <v>850</v>
      </c>
    </row>
    <row r="17" spans="1:14" ht="17.25" thickBot="1">
      <c r="A17" s="153" t="s">
        <v>48</v>
      </c>
      <c r="B17" s="154"/>
      <c r="C17" s="155"/>
      <c r="D17" s="52">
        <f>SUM(D10:D16)</f>
        <v>6375.8914962279996</v>
      </c>
      <c r="F17" s="153" t="s">
        <v>48</v>
      </c>
      <c r="G17" s="154"/>
      <c r="H17" s="155"/>
      <c r="I17" s="52">
        <f>SUM(I10:I16)</f>
        <v>3519.18</v>
      </c>
      <c r="K17" s="153" t="s">
        <v>48</v>
      </c>
      <c r="L17" s="154"/>
      <c r="M17" s="155"/>
      <c r="N17" s="52">
        <f>D17+I17</f>
        <v>9895.0714962279999</v>
      </c>
    </row>
    <row r="18" spans="1:14" ht="17.25" thickBot="1">
      <c r="A18" s="156" t="s">
        <v>10</v>
      </c>
      <c r="B18" s="157"/>
      <c r="C18" s="158"/>
      <c r="D18" s="53">
        <f>D9-D17</f>
        <v>20426.717199424176</v>
      </c>
      <c r="F18" s="156" t="s">
        <v>10</v>
      </c>
      <c r="G18" s="157"/>
      <c r="H18" s="158"/>
      <c r="I18" s="53">
        <f>I9-I17</f>
        <v>20363.613478260871</v>
      </c>
      <c r="K18" s="156" t="s">
        <v>10</v>
      </c>
      <c r="L18" s="157"/>
      <c r="M18" s="158"/>
      <c r="N18" s="53">
        <f t="shared" si="0"/>
        <v>40790.330677685051</v>
      </c>
    </row>
    <row r="19" spans="1:14" ht="17.25" thickBot="1">
      <c r="A19" s="147" t="s">
        <v>20</v>
      </c>
      <c r="B19" s="148"/>
      <c r="C19" s="149"/>
      <c r="D19" s="50">
        <f>D18*0.3</f>
        <v>6128.0151598272523</v>
      </c>
      <c r="F19" s="147" t="s">
        <v>20</v>
      </c>
      <c r="G19" s="148"/>
      <c r="H19" s="149"/>
      <c r="I19" s="50">
        <f>I18*0.3</f>
        <v>6109.0840434782613</v>
      </c>
      <c r="K19" s="147" t="s">
        <v>20</v>
      </c>
      <c r="L19" s="148"/>
      <c r="M19" s="149"/>
      <c r="N19" s="50">
        <f t="shared" si="0"/>
        <v>12237.099203305514</v>
      </c>
    </row>
    <row r="20" spans="1:14" ht="17.25" thickBot="1">
      <c r="A20" s="159" t="s">
        <v>21</v>
      </c>
      <c r="B20" s="160"/>
      <c r="C20" s="161"/>
      <c r="D20" s="54">
        <f>D18-D19</f>
        <v>14298.702039596923</v>
      </c>
      <c r="F20" s="159" t="s">
        <v>21</v>
      </c>
      <c r="G20" s="160"/>
      <c r="H20" s="161"/>
      <c r="I20" s="54">
        <f>I18-I19</f>
        <v>14254.529434782609</v>
      </c>
      <c r="K20" s="159" t="s">
        <v>21</v>
      </c>
      <c r="L20" s="160"/>
      <c r="M20" s="161"/>
      <c r="N20" s="54">
        <f>D20+I20</f>
        <v>28553.231474379532</v>
      </c>
    </row>
    <row r="21" spans="1:1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14298.702039596923</v>
      </c>
      <c r="F22" s="150" t="s">
        <v>12</v>
      </c>
      <c r="G22" s="151"/>
      <c r="H22" s="152"/>
      <c r="I22" s="51">
        <f>I20-I21</f>
        <v>14254.529434782609</v>
      </c>
      <c r="K22" s="150" t="s">
        <v>12</v>
      </c>
      <c r="L22" s="151"/>
      <c r="M22" s="152"/>
      <c r="N22" s="51">
        <f>D22+I22</f>
        <v>28553.231474379532</v>
      </c>
    </row>
    <row r="23" spans="1:14" ht="17.25" thickBot="1">
      <c r="A23" s="150" t="s">
        <v>299</v>
      </c>
      <c r="B23" s="151" t="s">
        <v>299</v>
      </c>
      <c r="C23" s="152"/>
      <c r="D23" s="51">
        <v>0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f t="shared" si="0"/>
        <v>0</v>
      </c>
    </row>
    <row r="24" spans="1:14" ht="17.25" thickBot="1">
      <c r="A24" s="150" t="s">
        <v>300</v>
      </c>
      <c r="B24" s="151" t="s">
        <v>300</v>
      </c>
      <c r="C24" s="152"/>
      <c r="D24" s="51">
        <f>D22+D23</f>
        <v>14298.702039596923</v>
      </c>
      <c r="F24" s="150" t="s">
        <v>300</v>
      </c>
      <c r="G24" s="151" t="s">
        <v>300</v>
      </c>
      <c r="H24" s="152"/>
      <c r="I24" s="51">
        <f>I22+I23</f>
        <v>14254.529434782609</v>
      </c>
      <c r="K24" s="150" t="s">
        <v>300</v>
      </c>
      <c r="L24" s="151" t="s">
        <v>300</v>
      </c>
      <c r="M24" s="152"/>
      <c r="N24" s="51">
        <f>D24+I24</f>
        <v>28553.231474379532</v>
      </c>
    </row>
    <row r="25" spans="1:14">
      <c r="E25"/>
      <c r="J25"/>
    </row>
    <row r="26" spans="1:14">
      <c r="E26"/>
      <c r="J26"/>
    </row>
    <row r="27" spans="1:14">
      <c r="E27"/>
      <c r="J27"/>
    </row>
    <row r="28" spans="1:14">
      <c r="E28"/>
      <c r="J28"/>
    </row>
    <row r="29" spans="1:14">
      <c r="E29"/>
      <c r="J29"/>
    </row>
    <row r="30" spans="1:14">
      <c r="E30"/>
      <c r="J30"/>
    </row>
    <row r="31" spans="1:14">
      <c r="E31"/>
      <c r="J31"/>
    </row>
    <row r="32" spans="1:14">
      <c r="E32"/>
      <c r="J32"/>
    </row>
    <row r="33" spans="5:10">
      <c r="E33"/>
      <c r="J33"/>
    </row>
    <row r="34" spans="5:10">
      <c r="E34"/>
      <c r="J34"/>
    </row>
    <row r="35" spans="5:10">
      <c r="E35"/>
      <c r="J35"/>
    </row>
    <row r="36" spans="5:10">
      <c r="E36"/>
      <c r="J36"/>
    </row>
    <row r="37" spans="5:10">
      <c r="E37"/>
      <c r="J37"/>
    </row>
    <row r="38" spans="5:10">
      <c r="E38"/>
      <c r="J38"/>
    </row>
    <row r="39" spans="5:10">
      <c r="E39"/>
      <c r="J39"/>
    </row>
    <row r="40" spans="5:10">
      <c r="E40"/>
      <c r="J40"/>
    </row>
    <row r="41" spans="5:10">
      <c r="E41"/>
      <c r="J41"/>
    </row>
    <row r="42" spans="5:10">
      <c r="E42"/>
      <c r="J42"/>
    </row>
    <row r="43" spans="5:10">
      <c r="E43"/>
      <c r="J43"/>
    </row>
    <row r="44" spans="5:10">
      <c r="E44"/>
      <c r="J44"/>
    </row>
    <row r="45" spans="5:10">
      <c r="E45"/>
      <c r="J45"/>
    </row>
    <row r="46" spans="5:10">
      <c r="E46"/>
      <c r="J46"/>
    </row>
    <row r="47" spans="5:10">
      <c r="E47"/>
      <c r="J47"/>
    </row>
    <row r="48" spans="5:10">
      <c r="E48"/>
      <c r="J48"/>
    </row>
    <row r="49" spans="5:10">
      <c r="E49"/>
      <c r="J49"/>
    </row>
    <row r="50" spans="5:10">
      <c r="E50"/>
      <c r="J50"/>
    </row>
    <row r="51" spans="5:10">
      <c r="E51"/>
      <c r="J51"/>
    </row>
    <row r="52" spans="5:10">
      <c r="E52"/>
      <c r="J52"/>
    </row>
    <row r="53" spans="5:10">
      <c r="E53"/>
      <c r="J53"/>
    </row>
    <row r="54" spans="5:10">
      <c r="E54"/>
      <c r="J54"/>
    </row>
    <row r="55" spans="5:10">
      <c r="E55"/>
      <c r="J55"/>
    </row>
    <row r="56" spans="5:10">
      <c r="E56"/>
      <c r="J56"/>
    </row>
    <row r="57" spans="5:10">
      <c r="E57"/>
      <c r="J57"/>
    </row>
    <row r="58" spans="5:10">
      <c r="E58"/>
      <c r="J58"/>
    </row>
    <row r="59" spans="5:10">
      <c r="E59"/>
      <c r="J59"/>
    </row>
    <row r="60" spans="5:10">
      <c r="E60"/>
      <c r="J60"/>
    </row>
    <row r="61" spans="5:10">
      <c r="E61"/>
      <c r="J61"/>
    </row>
    <row r="62" spans="5:10">
      <c r="E62"/>
      <c r="J62"/>
    </row>
    <row r="63" spans="5:10">
      <c r="E63"/>
      <c r="J63"/>
    </row>
    <row r="64" spans="5:10">
      <c r="E64"/>
      <c r="J64"/>
    </row>
    <row r="65" spans="5:10">
      <c r="E65"/>
      <c r="J65"/>
    </row>
    <row r="66" spans="5:10">
      <c r="E66"/>
      <c r="J66"/>
    </row>
    <row r="67" spans="5:10">
      <c r="E67"/>
      <c r="J67"/>
    </row>
    <row r="68" spans="5:10">
      <c r="E68"/>
      <c r="J68"/>
    </row>
    <row r="69" spans="5:10">
      <c r="E69"/>
      <c r="J69"/>
    </row>
    <row r="70" spans="5:10">
      <c r="E70"/>
      <c r="J70"/>
    </row>
    <row r="71" spans="5:10">
      <c r="E71"/>
      <c r="J71"/>
    </row>
    <row r="72" spans="5:10">
      <c r="E72"/>
      <c r="J72"/>
    </row>
    <row r="73" spans="5:10">
      <c r="E73"/>
      <c r="J73"/>
    </row>
    <row r="74" spans="5:10">
      <c r="E74"/>
      <c r="J74"/>
    </row>
    <row r="75" spans="5:10">
      <c r="E75"/>
      <c r="J75"/>
    </row>
    <row r="76" spans="5:10">
      <c r="E76"/>
      <c r="J76"/>
    </row>
    <row r="77" spans="5:10">
      <c r="E77"/>
      <c r="J77"/>
    </row>
    <row r="78" spans="5:10">
      <c r="E78"/>
      <c r="J78"/>
    </row>
    <row r="79" spans="5:10">
      <c r="E79"/>
      <c r="J79"/>
    </row>
    <row r="80" spans="5:10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</sheetData>
  <mergeCells count="75">
    <mergeCell ref="A23:C23"/>
    <mergeCell ref="F23:H23"/>
    <mergeCell ref="K23:M23"/>
    <mergeCell ref="A24:C24"/>
    <mergeCell ref="F24:H24"/>
    <mergeCell ref="K24:M24"/>
    <mergeCell ref="A21:C21"/>
    <mergeCell ref="F21:H21"/>
    <mergeCell ref="K21:M21"/>
    <mergeCell ref="A22:C22"/>
    <mergeCell ref="F22:H22"/>
    <mergeCell ref="K22:M22"/>
    <mergeCell ref="A19:C19"/>
    <mergeCell ref="F19:H19"/>
    <mergeCell ref="K19:M19"/>
    <mergeCell ref="A20:C20"/>
    <mergeCell ref="F20:H20"/>
    <mergeCell ref="K20:M20"/>
    <mergeCell ref="A17:C17"/>
    <mergeCell ref="F17:H17"/>
    <mergeCell ref="K17:M17"/>
    <mergeCell ref="A18:C18"/>
    <mergeCell ref="F18:H18"/>
    <mergeCell ref="K18:M18"/>
    <mergeCell ref="A15:C15"/>
    <mergeCell ref="F15:H15"/>
    <mergeCell ref="K15:M15"/>
    <mergeCell ref="A16:C16"/>
    <mergeCell ref="F16:H16"/>
    <mergeCell ref="K16:M16"/>
    <mergeCell ref="A13:C13"/>
    <mergeCell ref="F13:H13"/>
    <mergeCell ref="K13:M13"/>
    <mergeCell ref="A14:C14"/>
    <mergeCell ref="F14:H14"/>
    <mergeCell ref="K14:M14"/>
    <mergeCell ref="A11:C11"/>
    <mergeCell ref="F11:H11"/>
    <mergeCell ref="K11:M11"/>
    <mergeCell ref="A12:C12"/>
    <mergeCell ref="F12:H12"/>
    <mergeCell ref="K12:M12"/>
    <mergeCell ref="A9:C9"/>
    <mergeCell ref="F9:H9"/>
    <mergeCell ref="K9:M9"/>
    <mergeCell ref="A10:C10"/>
    <mergeCell ref="F10:H10"/>
    <mergeCell ref="K10:M10"/>
    <mergeCell ref="A7:C7"/>
    <mergeCell ref="F7:H7"/>
    <mergeCell ref="K7:M7"/>
    <mergeCell ref="A8:C8"/>
    <mergeCell ref="F8:H8"/>
    <mergeCell ref="K8:M8"/>
    <mergeCell ref="A5:C5"/>
    <mergeCell ref="F5:H5"/>
    <mergeCell ref="K5:M5"/>
    <mergeCell ref="A6:C6"/>
    <mergeCell ref="F6:H6"/>
    <mergeCell ref="K6:M6"/>
    <mergeCell ref="M3:N3"/>
    <mergeCell ref="A1:D1"/>
    <mergeCell ref="F1:I1"/>
    <mergeCell ref="K1:N1"/>
    <mergeCell ref="A2:B2"/>
    <mergeCell ref="C2:D2"/>
    <mergeCell ref="F2:G2"/>
    <mergeCell ref="H2:I2"/>
    <mergeCell ref="K2:L2"/>
    <mergeCell ref="M2:N2"/>
    <mergeCell ref="A3:B3"/>
    <mergeCell ref="C3:D3"/>
    <mergeCell ref="F3:G3"/>
    <mergeCell ref="H3:I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0B69-9EE6-4FFA-A5FB-70FAD1978F57}">
  <sheetPr>
    <tabColor rgb="FFFF0000"/>
  </sheetPr>
  <dimension ref="A1:AH171"/>
  <sheetViews>
    <sheetView rightToLeft="1" zoomScale="75" workbookViewId="0">
      <selection activeCell="D23" sqref="D23"/>
    </sheetView>
  </sheetViews>
  <sheetFormatPr defaultColWidth="9" defaultRowHeight="20.25"/>
  <cols>
    <col min="1" max="1" width="12.125" style="2" customWidth="1"/>
    <col min="2" max="2" width="18.125" style="2" customWidth="1"/>
    <col min="3" max="3" width="16" style="2" customWidth="1"/>
    <col min="4" max="4" width="15.125" style="2" customWidth="1"/>
    <col min="5" max="5" width="1" style="32" customWidth="1"/>
    <col min="6" max="6" width="12.125" style="2" customWidth="1"/>
    <col min="7" max="7" width="18.125" style="2" customWidth="1"/>
    <col min="8" max="8" width="17.125" style="2" customWidth="1"/>
    <col min="9" max="9" width="15.125" style="2" customWidth="1"/>
    <col min="10" max="10" width="1" style="32" customWidth="1"/>
    <col min="11" max="11" width="21.125" style="2" customWidth="1"/>
    <col min="12" max="12" width="21.375" style="2" customWidth="1"/>
    <col min="13" max="13" width="15.625" style="2" customWidth="1"/>
    <col min="14" max="14" width="12.125" style="2" customWidth="1"/>
    <col min="15" max="15" width="0.625" style="32" customWidth="1"/>
    <col min="16" max="16" width="21.125" style="2" customWidth="1"/>
    <col min="17" max="17" width="21.375" style="2" customWidth="1"/>
    <col min="18" max="18" width="17.125" style="2" customWidth="1"/>
    <col min="19" max="19" width="12.375" style="2" customWidth="1"/>
    <col min="20" max="20" width="0.875" style="32" customWidth="1"/>
    <col min="21" max="21" width="21.125" style="2" customWidth="1"/>
    <col min="22" max="22" width="21.375" style="2" customWidth="1"/>
    <col min="23" max="23" width="17.125" style="2" customWidth="1"/>
    <col min="24" max="24" width="10.625" style="2" customWidth="1"/>
    <col min="25" max="25" width="0.625" style="32" customWidth="1"/>
    <col min="26" max="26" width="19.125" style="2" customWidth="1"/>
    <col min="27" max="27" width="18.375" style="2" customWidth="1"/>
    <col min="28" max="28" width="18" style="2" customWidth="1"/>
    <col min="29" max="29" width="14.125" style="2" customWidth="1"/>
    <col min="30" max="30" width="0.875" style="38" customWidth="1"/>
    <col min="31" max="31" width="12.625" style="2" customWidth="1"/>
    <col min="32" max="32" width="19.625" style="2" customWidth="1"/>
    <col min="33" max="33" width="25.375" style="2" customWidth="1"/>
    <col min="34" max="34" width="17.625" style="2" customWidth="1"/>
    <col min="35" max="16384" width="9" style="2"/>
  </cols>
  <sheetData>
    <row r="1" spans="1:34" s="33" customFormat="1" ht="20.25" customHeight="1" thickBot="1">
      <c r="A1" s="135" t="s">
        <v>38</v>
      </c>
      <c r="B1" s="135"/>
      <c r="C1" s="135"/>
      <c r="D1" s="135"/>
      <c r="E1" s="34"/>
      <c r="F1" s="135" t="s">
        <v>38</v>
      </c>
      <c r="G1" s="135"/>
      <c r="H1" s="135"/>
      <c r="I1" s="135"/>
      <c r="J1" s="34"/>
      <c r="K1" s="135" t="s">
        <v>38</v>
      </c>
      <c r="L1" s="135"/>
      <c r="M1" s="135"/>
      <c r="N1" s="135"/>
      <c r="O1" s="34"/>
      <c r="P1" s="135" t="s">
        <v>38</v>
      </c>
      <c r="Q1" s="135"/>
      <c r="R1" s="135"/>
      <c r="S1" s="135"/>
      <c r="T1" s="34"/>
      <c r="U1" s="135" t="s">
        <v>38</v>
      </c>
      <c r="V1" s="135"/>
      <c r="W1" s="135"/>
      <c r="X1" s="135"/>
      <c r="Y1" s="34"/>
      <c r="Z1" s="135" t="s">
        <v>38</v>
      </c>
      <c r="AA1" s="135"/>
      <c r="AB1" s="135"/>
      <c r="AC1" s="135"/>
      <c r="AD1" s="37"/>
      <c r="AE1" s="135" t="s">
        <v>46</v>
      </c>
      <c r="AF1" s="135"/>
      <c r="AG1" s="135"/>
      <c r="AH1" s="135"/>
    </row>
    <row r="2" spans="1:34" ht="19.5" customHeight="1" thickBot="1">
      <c r="A2" s="136" t="s">
        <v>1</v>
      </c>
      <c r="B2" s="136"/>
      <c r="C2" s="137" t="s">
        <v>4</v>
      </c>
      <c r="D2" s="137"/>
      <c r="F2" s="136" t="s">
        <v>1</v>
      </c>
      <c r="G2" s="136"/>
      <c r="H2" s="137" t="s">
        <v>22</v>
      </c>
      <c r="I2" s="137"/>
      <c r="K2" s="136" t="s">
        <v>1</v>
      </c>
      <c r="L2" s="136"/>
      <c r="M2" s="172" t="s">
        <v>27</v>
      </c>
      <c r="N2" s="172"/>
      <c r="P2" s="136" t="s">
        <v>1</v>
      </c>
      <c r="Q2" s="136"/>
      <c r="R2" s="172" t="s">
        <v>31</v>
      </c>
      <c r="S2" s="172"/>
      <c r="U2" s="136" t="s">
        <v>1</v>
      </c>
      <c r="V2" s="136"/>
      <c r="W2" s="172" t="s">
        <v>35</v>
      </c>
      <c r="X2" s="172"/>
      <c r="Z2" s="136" t="s">
        <v>1</v>
      </c>
      <c r="AA2" s="136"/>
      <c r="AB2" s="170" t="s">
        <v>18</v>
      </c>
      <c r="AC2" s="171"/>
      <c r="AE2" s="136" t="s">
        <v>45</v>
      </c>
      <c r="AF2" s="136"/>
      <c r="AG2" s="170">
        <v>6</v>
      </c>
      <c r="AH2" s="171"/>
    </row>
    <row r="3" spans="1:34" ht="18.75" customHeight="1" thickBot="1">
      <c r="A3" s="136" t="s">
        <v>2</v>
      </c>
      <c r="B3" s="136"/>
      <c r="C3" s="142" t="s">
        <v>5</v>
      </c>
      <c r="D3" s="143"/>
      <c r="F3" s="136" t="s">
        <v>2</v>
      </c>
      <c r="G3" s="136"/>
      <c r="H3" s="142" t="s">
        <v>23</v>
      </c>
      <c r="I3" s="143"/>
      <c r="K3" s="136" t="s">
        <v>2</v>
      </c>
      <c r="L3" s="136"/>
      <c r="M3" s="142" t="s">
        <v>28</v>
      </c>
      <c r="N3" s="143"/>
      <c r="P3" s="136" t="s">
        <v>2</v>
      </c>
      <c r="Q3" s="136"/>
      <c r="R3" s="142" t="s">
        <v>32</v>
      </c>
      <c r="S3" s="143"/>
      <c r="U3" s="136" t="s">
        <v>2</v>
      </c>
      <c r="V3" s="136"/>
      <c r="W3" s="142" t="s">
        <v>36</v>
      </c>
      <c r="X3" s="143"/>
      <c r="Z3" s="136" t="s">
        <v>2</v>
      </c>
      <c r="AA3" s="136"/>
      <c r="AB3" s="142" t="s">
        <v>19</v>
      </c>
      <c r="AC3" s="143"/>
      <c r="AE3" s="167" t="str">
        <f>C3&amp;"-  "&amp;H3&amp;" - "&amp;M3&amp;" - "&amp;R3&amp;" - "&amp;W3&amp;" - "&amp;AB3</f>
        <v xml:space="preserve">د ي ر 9714-  د م ا 9368 - د ل ص 4738 - 1232 ر د ب  - 2067 د ه و  - 2068 د ه و </v>
      </c>
      <c r="AF3" s="168"/>
      <c r="AG3" s="168"/>
      <c r="AH3" s="169"/>
    </row>
    <row r="4" spans="1:34" ht="21" thickBot="1">
      <c r="A4" s="4"/>
      <c r="B4" s="4"/>
      <c r="C4" s="4"/>
      <c r="D4" s="5"/>
      <c r="F4" s="6"/>
      <c r="G4" s="6"/>
      <c r="H4" s="6"/>
      <c r="I4" s="7"/>
      <c r="K4" s="6"/>
      <c r="L4" s="6"/>
      <c r="M4" s="6"/>
      <c r="N4" s="7"/>
      <c r="P4" s="6"/>
      <c r="Q4" s="6"/>
      <c r="R4" s="6"/>
      <c r="S4" s="7"/>
      <c r="U4" s="6"/>
      <c r="V4" s="6"/>
      <c r="W4" s="6"/>
      <c r="X4" s="7"/>
      <c r="Z4" s="6"/>
      <c r="AA4" s="6"/>
      <c r="AB4" s="6"/>
      <c r="AC4" s="7"/>
      <c r="AE4" s="6"/>
      <c r="AF4" s="6"/>
      <c r="AG4" s="6"/>
      <c r="AH4" s="7"/>
    </row>
    <row r="5" spans="1:34" ht="21" thickBot="1">
      <c r="A5" s="144" t="s">
        <v>6</v>
      </c>
      <c r="B5" s="145"/>
      <c r="C5" s="146"/>
      <c r="D5" s="8" t="s">
        <v>7</v>
      </c>
      <c r="F5" s="144" t="s">
        <v>6</v>
      </c>
      <c r="G5" s="145"/>
      <c r="H5" s="146"/>
      <c r="I5" s="8" t="s">
        <v>7</v>
      </c>
      <c r="K5" s="144" t="s">
        <v>6</v>
      </c>
      <c r="L5" s="145"/>
      <c r="M5" s="146"/>
      <c r="N5" s="8" t="s">
        <v>7</v>
      </c>
      <c r="P5" s="144" t="s">
        <v>6</v>
      </c>
      <c r="Q5" s="145"/>
      <c r="R5" s="146"/>
      <c r="S5" s="8" t="s">
        <v>7</v>
      </c>
      <c r="U5" s="144" t="s">
        <v>6</v>
      </c>
      <c r="V5" s="145"/>
      <c r="W5" s="146"/>
      <c r="X5" s="8" t="s">
        <v>7</v>
      </c>
      <c r="Z5" s="144" t="s">
        <v>6</v>
      </c>
      <c r="AA5" s="145"/>
      <c r="AB5" s="146"/>
      <c r="AC5" s="8" t="s">
        <v>7</v>
      </c>
      <c r="AE5" s="144" t="s">
        <v>6</v>
      </c>
      <c r="AF5" s="145"/>
      <c r="AG5" s="146"/>
      <c r="AH5" s="8" t="s">
        <v>7</v>
      </c>
    </row>
    <row r="6" spans="1:34" ht="21" thickBot="1">
      <c r="A6" s="147" t="s">
        <v>294</v>
      </c>
      <c r="B6" s="148"/>
      <c r="C6" s="149"/>
      <c r="D6" s="50">
        <v>23150.443478260873</v>
      </c>
      <c r="F6" s="147" t="s">
        <v>294</v>
      </c>
      <c r="G6" s="148"/>
      <c r="H6" s="149"/>
      <c r="I6" s="50">
        <v>26421.652173913044</v>
      </c>
      <c r="K6" s="147" t="s">
        <v>294</v>
      </c>
      <c r="L6" s="148"/>
      <c r="M6" s="149"/>
      <c r="N6" s="50">
        <v>18217.391304347828</v>
      </c>
      <c r="P6" s="147" t="s">
        <v>294</v>
      </c>
      <c r="Q6" s="148"/>
      <c r="R6" s="149"/>
      <c r="S6" s="50">
        <f>29299.3565217391-300</f>
        <v>28999.356521739101</v>
      </c>
      <c r="U6" s="147" t="s">
        <v>294</v>
      </c>
      <c r="V6" s="148"/>
      <c r="W6" s="149"/>
      <c r="X6" s="50">
        <v>18440.434782608696</v>
      </c>
      <c r="Z6" s="147" t="s">
        <v>8</v>
      </c>
      <c r="AA6" s="148"/>
      <c r="AB6" s="149"/>
      <c r="AC6" s="50">
        <v>7129.5652173913004</v>
      </c>
      <c r="AE6" s="147" t="s">
        <v>8</v>
      </c>
      <c r="AF6" s="148"/>
      <c r="AG6" s="149"/>
      <c r="AH6" s="50">
        <f>D6+I6+N6+S6+X6+AC6</f>
        <v>122358.84347826082</v>
      </c>
    </row>
    <row r="7" spans="1:34" ht="21" thickBot="1">
      <c r="A7" s="147" t="s">
        <v>295</v>
      </c>
      <c r="B7" s="148"/>
      <c r="C7" s="149"/>
      <c r="D7" s="50">
        <v>0</v>
      </c>
      <c r="F7" s="147" t="s">
        <v>333</v>
      </c>
      <c r="G7" s="148"/>
      <c r="H7" s="149"/>
      <c r="I7" s="50">
        <v>0</v>
      </c>
      <c r="K7" s="147" t="s">
        <v>333</v>
      </c>
      <c r="L7" s="148"/>
      <c r="M7" s="149"/>
      <c r="N7" s="50">
        <v>0</v>
      </c>
      <c r="P7" s="147" t="s">
        <v>333</v>
      </c>
      <c r="Q7" s="148"/>
      <c r="R7" s="149"/>
      <c r="S7" s="50">
        <v>0</v>
      </c>
      <c r="U7" s="147" t="s">
        <v>333</v>
      </c>
      <c r="V7" s="148"/>
      <c r="W7" s="149"/>
      <c r="X7" s="50">
        <v>0</v>
      </c>
      <c r="Z7" s="147" t="s">
        <v>333</v>
      </c>
      <c r="AA7" s="148"/>
      <c r="AB7" s="149"/>
      <c r="AC7" s="50">
        <v>13340</v>
      </c>
      <c r="AE7" s="147" t="s">
        <v>333</v>
      </c>
      <c r="AF7" s="148"/>
      <c r="AG7" s="149"/>
      <c r="AH7" s="50">
        <f t="shared" ref="AH7:AH24" si="0">D7+I7+N7+S7+X7+AC7</f>
        <v>13340</v>
      </c>
    </row>
    <row r="8" spans="1:34" ht="21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/>
      <c r="P8" s="147" t="s">
        <v>296</v>
      </c>
      <c r="Q8" s="148"/>
      <c r="R8" s="149"/>
      <c r="S8" s="50">
        <v>300</v>
      </c>
      <c r="U8" s="147" t="s">
        <v>296</v>
      </c>
      <c r="V8" s="148"/>
      <c r="W8" s="149"/>
      <c r="X8" s="50">
        <v>0</v>
      </c>
      <c r="Z8" s="147" t="s">
        <v>296</v>
      </c>
      <c r="AA8" s="148"/>
      <c r="AB8" s="149"/>
      <c r="AC8" s="50">
        <v>0</v>
      </c>
      <c r="AE8" s="147" t="s">
        <v>296</v>
      </c>
      <c r="AF8" s="148"/>
      <c r="AG8" s="149"/>
      <c r="AH8" s="50">
        <f t="shared" si="0"/>
        <v>300</v>
      </c>
    </row>
    <row r="9" spans="1:34" ht="21" thickBot="1">
      <c r="A9" s="150" t="s">
        <v>9</v>
      </c>
      <c r="B9" s="151"/>
      <c r="C9" s="152"/>
      <c r="D9" s="51">
        <f>SUM(D6:D8)</f>
        <v>23150.443478260873</v>
      </c>
      <c r="F9" s="150" t="s">
        <v>9</v>
      </c>
      <c r="G9" s="151"/>
      <c r="H9" s="152"/>
      <c r="I9" s="51">
        <f>SUM(I6:I8)</f>
        <v>26421.652173913044</v>
      </c>
      <c r="K9" s="150" t="s">
        <v>9</v>
      </c>
      <c r="L9" s="151"/>
      <c r="M9" s="152"/>
      <c r="N9" s="51">
        <f>SUM(N6:N8)</f>
        <v>18217.391304347828</v>
      </c>
      <c r="P9" s="150" t="s">
        <v>9</v>
      </c>
      <c r="Q9" s="151"/>
      <c r="R9" s="152"/>
      <c r="S9" s="51">
        <f>SUM(S6:S8)</f>
        <v>29299.356521739101</v>
      </c>
      <c r="U9" s="150" t="s">
        <v>9</v>
      </c>
      <c r="V9" s="151"/>
      <c r="W9" s="152"/>
      <c r="X9" s="51">
        <f>SUM(X6:X8)</f>
        <v>18440.434782608696</v>
      </c>
      <c r="Z9" s="150" t="s">
        <v>9</v>
      </c>
      <c r="AA9" s="151"/>
      <c r="AB9" s="152"/>
      <c r="AC9" s="51">
        <f>SUM(AC6:AC8)</f>
        <v>20469.5652173913</v>
      </c>
      <c r="AE9" s="150" t="s">
        <v>9</v>
      </c>
      <c r="AF9" s="151"/>
      <c r="AG9" s="152"/>
      <c r="AH9" s="51">
        <f t="shared" si="0"/>
        <v>135998.84347826082</v>
      </c>
    </row>
    <row r="10" spans="1:34" ht="21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184</v>
      </c>
      <c r="K10" s="147" t="s">
        <v>39</v>
      </c>
      <c r="L10" s="148"/>
      <c r="M10" s="149"/>
      <c r="N10" s="50">
        <v>184</v>
      </c>
      <c r="P10" s="147" t="s">
        <v>39</v>
      </c>
      <c r="Q10" s="148"/>
      <c r="R10" s="149"/>
      <c r="S10" s="50">
        <v>201.39</v>
      </c>
      <c r="U10" s="147" t="s">
        <v>39</v>
      </c>
      <c r="V10" s="148"/>
      <c r="W10" s="149"/>
      <c r="X10" s="50">
        <v>325.96000000000004</v>
      </c>
      <c r="Z10" s="147" t="s">
        <v>39</v>
      </c>
      <c r="AA10" s="148"/>
      <c r="AB10" s="149"/>
      <c r="AC10" s="50">
        <f>234+400</f>
        <v>634</v>
      </c>
      <c r="AE10" s="147" t="s">
        <v>39</v>
      </c>
      <c r="AF10" s="148"/>
      <c r="AG10" s="149"/>
      <c r="AH10" s="50">
        <f t="shared" si="0"/>
        <v>1713.35</v>
      </c>
    </row>
    <row r="11" spans="1:34" ht="21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50">
        <v>0</v>
      </c>
      <c r="U11" s="147" t="s">
        <v>40</v>
      </c>
      <c r="V11" s="148"/>
      <c r="W11" s="149"/>
      <c r="X11" s="50">
        <v>100</v>
      </c>
      <c r="Z11" s="147" t="s">
        <v>40</v>
      </c>
      <c r="AA11" s="148"/>
      <c r="AB11" s="149"/>
      <c r="AC11" s="50">
        <v>100</v>
      </c>
      <c r="AE11" s="147" t="s">
        <v>40</v>
      </c>
      <c r="AF11" s="148"/>
      <c r="AG11" s="149"/>
      <c r="AH11" s="50">
        <f t="shared" si="0"/>
        <v>200</v>
      </c>
    </row>
    <row r="12" spans="1:34" ht="21" thickBot="1">
      <c r="A12" s="147" t="s">
        <v>41</v>
      </c>
      <c r="B12" s="148"/>
      <c r="C12" s="149"/>
      <c r="D12" s="50">
        <v>173.99274999999997</v>
      </c>
      <c r="F12" s="147" t="s">
        <v>41</v>
      </c>
      <c r="G12" s="148"/>
      <c r="H12" s="149"/>
      <c r="I12" s="50">
        <v>0</v>
      </c>
      <c r="K12" s="147" t="s">
        <v>41</v>
      </c>
      <c r="L12" s="148"/>
      <c r="M12" s="149"/>
      <c r="N12" s="50">
        <v>1.84</v>
      </c>
      <c r="P12" s="147" t="s">
        <v>41</v>
      </c>
      <c r="Q12" s="148"/>
      <c r="R12" s="149"/>
      <c r="S12" s="50">
        <v>135.61003156000001</v>
      </c>
      <c r="U12" s="147" t="s">
        <v>41</v>
      </c>
      <c r="V12" s="148"/>
      <c r="W12" s="149"/>
      <c r="X12" s="50">
        <v>100.33383607</v>
      </c>
      <c r="Z12" s="147" t="s">
        <v>41</v>
      </c>
      <c r="AA12" s="148"/>
      <c r="AB12" s="149"/>
      <c r="AC12" s="50">
        <v>0</v>
      </c>
      <c r="AE12" s="147" t="s">
        <v>41</v>
      </c>
      <c r="AF12" s="148"/>
      <c r="AG12" s="149"/>
      <c r="AH12" s="50">
        <f t="shared" si="0"/>
        <v>411.77661762999998</v>
      </c>
    </row>
    <row r="13" spans="1:34" ht="21" thickBot="1">
      <c r="A13" s="147" t="s">
        <v>297</v>
      </c>
      <c r="B13" s="148"/>
      <c r="C13" s="149"/>
      <c r="D13" s="50">
        <v>78.47999999999999</v>
      </c>
      <c r="F13" s="147" t="s">
        <v>297</v>
      </c>
      <c r="G13" s="148"/>
      <c r="H13" s="149"/>
      <c r="I13" s="50">
        <v>574.36</v>
      </c>
      <c r="K13" s="147" t="s">
        <v>297</v>
      </c>
      <c r="L13" s="148"/>
      <c r="M13" s="149"/>
      <c r="N13" s="50">
        <v>798.11</v>
      </c>
      <c r="P13" s="147" t="s">
        <v>297</v>
      </c>
      <c r="Q13" s="148"/>
      <c r="R13" s="149"/>
      <c r="S13" s="50">
        <v>1253.69</v>
      </c>
      <c r="U13" s="147" t="s">
        <v>297</v>
      </c>
      <c r="V13" s="148"/>
      <c r="W13" s="149"/>
      <c r="X13" s="50">
        <v>2330.4324999999999</v>
      </c>
      <c r="Z13" s="147" t="s">
        <v>297</v>
      </c>
      <c r="AA13" s="148"/>
      <c r="AB13" s="149"/>
      <c r="AC13" s="50">
        <v>13087.669999999998</v>
      </c>
      <c r="AE13" s="147" t="s">
        <v>297</v>
      </c>
      <c r="AF13" s="148"/>
      <c r="AG13" s="149"/>
      <c r="AH13" s="50">
        <f t="shared" si="0"/>
        <v>18122.7425</v>
      </c>
    </row>
    <row r="14" spans="1:34" ht="21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v>0</v>
      </c>
      <c r="P14" s="147" t="s">
        <v>43</v>
      </c>
      <c r="Q14" s="148"/>
      <c r="R14" s="149"/>
      <c r="S14" s="50">
        <v>875.91</v>
      </c>
      <c r="U14" s="147" t="s">
        <v>43</v>
      </c>
      <c r="V14" s="148"/>
      <c r="W14" s="149"/>
      <c r="X14" s="50">
        <v>875.91</v>
      </c>
      <c r="Z14" s="147" t="s">
        <v>43</v>
      </c>
      <c r="AA14" s="148"/>
      <c r="AB14" s="149"/>
      <c r="AC14" s="50">
        <v>875.91</v>
      </c>
      <c r="AE14" s="147" t="s">
        <v>43</v>
      </c>
      <c r="AF14" s="148"/>
      <c r="AG14" s="149"/>
      <c r="AH14" s="50">
        <f t="shared" si="0"/>
        <v>4379.55</v>
      </c>
    </row>
    <row r="15" spans="1:34" ht="21" thickBot="1">
      <c r="A15" s="147" t="s">
        <v>44</v>
      </c>
      <c r="B15" s="148"/>
      <c r="C15" s="149"/>
      <c r="D15" s="50">
        <v>506.96999999999997</v>
      </c>
      <c r="F15" s="147" t="s">
        <v>44</v>
      </c>
      <c r="G15" s="148"/>
      <c r="H15" s="149"/>
      <c r="I15" s="50">
        <f>227.4+34.78</f>
        <v>262.18</v>
      </c>
      <c r="K15" s="147" t="s">
        <v>44</v>
      </c>
      <c r="L15" s="148"/>
      <c r="M15" s="149"/>
      <c r="N15" s="50">
        <v>444.56</v>
      </c>
      <c r="P15" s="147" t="s">
        <v>44</v>
      </c>
      <c r="Q15" s="148"/>
      <c r="R15" s="149"/>
      <c r="S15" s="50">
        <v>401.09</v>
      </c>
      <c r="U15" s="147" t="s">
        <v>44</v>
      </c>
      <c r="V15" s="148"/>
      <c r="W15" s="149"/>
      <c r="X15" s="50">
        <v>133.04</v>
      </c>
      <c r="Z15" s="147" t="s">
        <v>44</v>
      </c>
      <c r="AA15" s="148"/>
      <c r="AB15" s="149"/>
      <c r="AC15" s="50">
        <v>135</v>
      </c>
      <c r="AE15" s="147" t="s">
        <v>44</v>
      </c>
      <c r="AF15" s="148"/>
      <c r="AG15" s="149"/>
      <c r="AH15" s="50">
        <f t="shared" si="0"/>
        <v>1882.84</v>
      </c>
    </row>
    <row r="16" spans="1:34" ht="21" thickBot="1">
      <c r="A16" s="147" t="s">
        <v>298</v>
      </c>
      <c r="B16" s="148"/>
      <c r="C16" s="149"/>
      <c r="D16" s="50">
        <v>0</v>
      </c>
      <c r="F16" s="147" t="s">
        <v>298</v>
      </c>
      <c r="G16" s="148"/>
      <c r="H16" s="149"/>
      <c r="I16" s="50">
        <v>300</v>
      </c>
      <c r="K16" s="147" t="s">
        <v>298</v>
      </c>
      <c r="L16" s="148"/>
      <c r="M16" s="149"/>
      <c r="N16" s="50">
        <v>300</v>
      </c>
      <c r="P16" s="147" t="s">
        <v>298</v>
      </c>
      <c r="Q16" s="148"/>
      <c r="R16" s="149"/>
      <c r="S16" s="50">
        <v>613</v>
      </c>
      <c r="U16" s="147" t="s">
        <v>298</v>
      </c>
      <c r="V16" s="148"/>
      <c r="W16" s="149"/>
      <c r="X16" s="50">
        <v>300</v>
      </c>
      <c r="Z16" s="147" t="s">
        <v>298</v>
      </c>
      <c r="AA16" s="148"/>
      <c r="AB16" s="149"/>
      <c r="AC16" s="50">
        <v>500</v>
      </c>
      <c r="AE16" s="147" t="s">
        <v>298</v>
      </c>
      <c r="AF16" s="148"/>
      <c r="AG16" s="149"/>
      <c r="AH16" s="50">
        <f t="shared" si="0"/>
        <v>2013</v>
      </c>
    </row>
    <row r="17" spans="1:34" ht="21" thickBot="1">
      <c r="A17" s="153" t="s">
        <v>48</v>
      </c>
      <c r="B17" s="154"/>
      <c r="C17" s="155"/>
      <c r="D17" s="52">
        <f>SUM(D10:D16)</f>
        <v>1819.35275</v>
      </c>
      <c r="F17" s="153" t="s">
        <v>48</v>
      </c>
      <c r="G17" s="154"/>
      <c r="H17" s="155"/>
      <c r="I17" s="52">
        <f>SUM(I10:I16)</f>
        <v>2196.4499999999998</v>
      </c>
      <c r="K17" s="153" t="s">
        <v>48</v>
      </c>
      <c r="L17" s="154"/>
      <c r="M17" s="155"/>
      <c r="N17" s="52">
        <f>SUM(N10:N16)</f>
        <v>1728.51</v>
      </c>
      <c r="P17" s="153" t="s">
        <v>48</v>
      </c>
      <c r="Q17" s="154"/>
      <c r="R17" s="155"/>
      <c r="S17" s="52">
        <f>SUM(S10:S16)</f>
        <v>3480.6900315600001</v>
      </c>
      <c r="U17" s="153" t="s">
        <v>48</v>
      </c>
      <c r="V17" s="154"/>
      <c r="W17" s="155"/>
      <c r="X17" s="52">
        <f>SUM(X10:X16)</f>
        <v>4165.6763360699997</v>
      </c>
      <c r="Z17" s="153" t="s">
        <v>48</v>
      </c>
      <c r="AA17" s="154"/>
      <c r="AB17" s="155"/>
      <c r="AC17" s="52">
        <f>SUM(AC10:AC16)</f>
        <v>15332.579999999998</v>
      </c>
      <c r="AE17" s="153" t="s">
        <v>48</v>
      </c>
      <c r="AF17" s="154"/>
      <c r="AG17" s="155"/>
      <c r="AH17" s="52">
        <f t="shared" si="0"/>
        <v>28723.259117629997</v>
      </c>
    </row>
    <row r="18" spans="1:34" ht="21" thickBot="1">
      <c r="A18" s="156" t="s">
        <v>10</v>
      </c>
      <c r="B18" s="157"/>
      <c r="C18" s="158"/>
      <c r="D18" s="53">
        <f>D9-D17</f>
        <v>21331.090728260875</v>
      </c>
      <c r="F18" s="156" t="s">
        <v>10</v>
      </c>
      <c r="G18" s="157"/>
      <c r="H18" s="158"/>
      <c r="I18" s="53">
        <f>I9-I17</f>
        <v>24225.202173913043</v>
      </c>
      <c r="K18" s="156" t="s">
        <v>10</v>
      </c>
      <c r="L18" s="157"/>
      <c r="M18" s="158"/>
      <c r="N18" s="53">
        <f>N9-N17</f>
        <v>16488.881304347829</v>
      </c>
      <c r="P18" s="156" t="s">
        <v>10</v>
      </c>
      <c r="Q18" s="157"/>
      <c r="R18" s="158"/>
      <c r="S18" s="53">
        <f>S9-S17</f>
        <v>25818.666490179101</v>
      </c>
      <c r="U18" s="156" t="s">
        <v>10</v>
      </c>
      <c r="V18" s="157"/>
      <c r="W18" s="158"/>
      <c r="X18" s="53">
        <f>X9-X17</f>
        <v>14274.758446538697</v>
      </c>
      <c r="Z18" s="156" t="s">
        <v>10</v>
      </c>
      <c r="AA18" s="157"/>
      <c r="AB18" s="158"/>
      <c r="AC18" s="53">
        <f>AC9-AC17</f>
        <v>5136.9852173913023</v>
      </c>
      <c r="AE18" s="156" t="s">
        <v>10</v>
      </c>
      <c r="AF18" s="157"/>
      <c r="AG18" s="158"/>
      <c r="AH18" s="53">
        <f t="shared" si="0"/>
        <v>107275.58436063086</v>
      </c>
    </row>
    <row r="19" spans="1:34" ht="21" thickBot="1">
      <c r="A19" s="147" t="s">
        <v>20</v>
      </c>
      <c r="B19" s="148"/>
      <c r="C19" s="149"/>
      <c r="D19" s="50">
        <f>D18*0.3</f>
        <v>6399.3272184782627</v>
      </c>
      <c r="F19" s="147" t="s">
        <v>20</v>
      </c>
      <c r="G19" s="148"/>
      <c r="H19" s="149"/>
      <c r="I19" s="50">
        <f>I18*0.3</f>
        <v>7267.5606521739128</v>
      </c>
      <c r="K19" s="147" t="s">
        <v>20</v>
      </c>
      <c r="L19" s="148"/>
      <c r="M19" s="149"/>
      <c r="N19" s="50">
        <f>N18*0.3</f>
        <v>4946.664391304349</v>
      </c>
      <c r="P19" s="147" t="s">
        <v>20</v>
      </c>
      <c r="Q19" s="148"/>
      <c r="R19" s="149"/>
      <c r="S19" s="50">
        <f>S18*0.3</f>
        <v>7745.5999470537299</v>
      </c>
      <c r="U19" s="147" t="s">
        <v>20</v>
      </c>
      <c r="V19" s="148"/>
      <c r="W19" s="149"/>
      <c r="X19" s="50">
        <f>X18*0.3</f>
        <v>4282.4275339616088</v>
      </c>
      <c r="Z19" s="147" t="s">
        <v>20</v>
      </c>
      <c r="AA19" s="148"/>
      <c r="AB19" s="149"/>
      <c r="AC19" s="50">
        <f>AC18*0.3</f>
        <v>1541.0955652173907</v>
      </c>
      <c r="AE19" s="147" t="s">
        <v>20</v>
      </c>
      <c r="AF19" s="148"/>
      <c r="AG19" s="149"/>
      <c r="AH19" s="50">
        <f t="shared" si="0"/>
        <v>32182.675308189249</v>
      </c>
    </row>
    <row r="20" spans="1:34" ht="21" thickBot="1">
      <c r="A20" s="159" t="s">
        <v>21</v>
      </c>
      <c r="B20" s="160"/>
      <c r="C20" s="161"/>
      <c r="D20" s="54">
        <f>D18-D19</f>
        <v>14931.763509782613</v>
      </c>
      <c r="F20" s="159" t="s">
        <v>21</v>
      </c>
      <c r="G20" s="160"/>
      <c r="H20" s="161"/>
      <c r="I20" s="54">
        <f>I18-I19</f>
        <v>16957.64152173913</v>
      </c>
      <c r="K20" s="159" t="s">
        <v>21</v>
      </c>
      <c r="L20" s="160"/>
      <c r="M20" s="161"/>
      <c r="N20" s="54">
        <f>N18-N19</f>
        <v>11542.216913043481</v>
      </c>
      <c r="P20" s="159" t="s">
        <v>21</v>
      </c>
      <c r="Q20" s="160"/>
      <c r="R20" s="161"/>
      <c r="S20" s="54">
        <f>S18-S19</f>
        <v>18073.066543125373</v>
      </c>
      <c r="U20" s="159" t="s">
        <v>21</v>
      </c>
      <c r="V20" s="160"/>
      <c r="W20" s="161"/>
      <c r="X20" s="54">
        <f>X18-X19</f>
        <v>9992.3309125770884</v>
      </c>
      <c r="Z20" s="159" t="s">
        <v>21</v>
      </c>
      <c r="AA20" s="160"/>
      <c r="AB20" s="161"/>
      <c r="AC20" s="54">
        <f>AC18-AC19</f>
        <v>3595.8896521739116</v>
      </c>
      <c r="AE20" s="159" t="s">
        <v>21</v>
      </c>
      <c r="AF20" s="160"/>
      <c r="AG20" s="161"/>
      <c r="AH20" s="54">
        <f t="shared" si="0"/>
        <v>75092.909052441595</v>
      </c>
    </row>
    <row r="21" spans="1:34" ht="21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v>0</v>
      </c>
      <c r="P21" s="147" t="s">
        <v>11</v>
      </c>
      <c r="Q21" s="148"/>
      <c r="R21" s="149"/>
      <c r="S21" s="50">
        <v>0</v>
      </c>
      <c r="U21" s="147" t="s">
        <v>11</v>
      </c>
      <c r="V21" s="148"/>
      <c r="W21" s="149"/>
      <c r="X21" s="50">
        <v>0</v>
      </c>
      <c r="Z21" s="147" t="s">
        <v>11</v>
      </c>
      <c r="AA21" s="148"/>
      <c r="AB21" s="149"/>
      <c r="AC21" s="50">
        <v>0</v>
      </c>
      <c r="AE21" s="147" t="s">
        <v>11</v>
      </c>
      <c r="AF21" s="148"/>
      <c r="AG21" s="149"/>
      <c r="AH21" s="50">
        <f t="shared" si="0"/>
        <v>0</v>
      </c>
    </row>
    <row r="22" spans="1:34" ht="21" thickBot="1">
      <c r="A22" s="150" t="s">
        <v>12</v>
      </c>
      <c r="B22" s="151"/>
      <c r="C22" s="152"/>
      <c r="D22" s="51">
        <f>D20-D21</f>
        <v>14931.763509782613</v>
      </c>
      <c r="F22" s="150" t="s">
        <v>12</v>
      </c>
      <c r="G22" s="151"/>
      <c r="H22" s="152"/>
      <c r="I22" s="51">
        <f>I20-I21</f>
        <v>16957.64152173913</v>
      </c>
      <c r="K22" s="150" t="s">
        <v>12</v>
      </c>
      <c r="L22" s="151"/>
      <c r="M22" s="152"/>
      <c r="N22" s="51">
        <f>N20-N21</f>
        <v>11542.216913043481</v>
      </c>
      <c r="P22" s="150" t="s">
        <v>12</v>
      </c>
      <c r="Q22" s="151"/>
      <c r="R22" s="152"/>
      <c r="S22" s="51">
        <f>S20-S21</f>
        <v>18073.066543125373</v>
      </c>
      <c r="U22" s="150" t="s">
        <v>12</v>
      </c>
      <c r="V22" s="151"/>
      <c r="W22" s="152"/>
      <c r="X22" s="51">
        <f>X20-X21</f>
        <v>9992.3309125770884</v>
      </c>
      <c r="Z22" s="150" t="s">
        <v>12</v>
      </c>
      <c r="AA22" s="151"/>
      <c r="AB22" s="152"/>
      <c r="AC22" s="51">
        <f>AC20-AC21</f>
        <v>3595.8896521739116</v>
      </c>
      <c r="AE22" s="150" t="s">
        <v>12</v>
      </c>
      <c r="AF22" s="151"/>
      <c r="AG22" s="152"/>
      <c r="AH22" s="51">
        <f t="shared" si="0"/>
        <v>75092.909052441595</v>
      </c>
    </row>
    <row r="23" spans="1:34" ht="21" thickBot="1">
      <c r="A23" s="150" t="s">
        <v>299</v>
      </c>
      <c r="B23" s="151" t="s">
        <v>299</v>
      </c>
      <c r="C23" s="152"/>
      <c r="D23" s="51">
        <v>12791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v>0</v>
      </c>
      <c r="P23" s="150" t="s">
        <v>299</v>
      </c>
      <c r="Q23" s="151" t="s">
        <v>299</v>
      </c>
      <c r="R23" s="152"/>
      <c r="S23" s="51">
        <v>0</v>
      </c>
      <c r="U23" s="150" t="s">
        <v>299</v>
      </c>
      <c r="V23" s="151" t="s">
        <v>299</v>
      </c>
      <c r="W23" s="152"/>
      <c r="X23" s="51">
        <v>0</v>
      </c>
      <c r="Z23" s="150" t="s">
        <v>299</v>
      </c>
      <c r="AA23" s="151" t="s">
        <v>299</v>
      </c>
      <c r="AB23" s="152"/>
      <c r="AC23" s="51">
        <v>0</v>
      </c>
      <c r="AE23" s="150" t="s">
        <v>299</v>
      </c>
      <c r="AF23" s="151" t="s">
        <v>299</v>
      </c>
      <c r="AG23" s="152"/>
      <c r="AH23" s="51">
        <f t="shared" si="0"/>
        <v>12791</v>
      </c>
    </row>
    <row r="24" spans="1:34" ht="21" thickBot="1">
      <c r="A24" s="150" t="s">
        <v>300</v>
      </c>
      <c r="B24" s="151" t="s">
        <v>300</v>
      </c>
      <c r="C24" s="152"/>
      <c r="D24" s="51">
        <f>D22+D23</f>
        <v>27722.763509782613</v>
      </c>
      <c r="F24" s="150" t="s">
        <v>300</v>
      </c>
      <c r="G24" s="151" t="s">
        <v>300</v>
      </c>
      <c r="H24" s="152"/>
      <c r="I24" s="51">
        <f>I22+I23</f>
        <v>16957.64152173913</v>
      </c>
      <c r="K24" s="150" t="s">
        <v>300</v>
      </c>
      <c r="L24" s="151" t="s">
        <v>300</v>
      </c>
      <c r="M24" s="152"/>
      <c r="N24" s="51">
        <f>N22+N23</f>
        <v>11542.216913043481</v>
      </c>
      <c r="P24" s="150" t="s">
        <v>300</v>
      </c>
      <c r="Q24" s="151" t="s">
        <v>300</v>
      </c>
      <c r="R24" s="152"/>
      <c r="S24" s="51">
        <f>S22+S23</f>
        <v>18073.066543125373</v>
      </c>
      <c r="U24" s="150" t="s">
        <v>300</v>
      </c>
      <c r="V24" s="151" t="s">
        <v>300</v>
      </c>
      <c r="W24" s="152"/>
      <c r="X24" s="51">
        <f>X22+X23</f>
        <v>9992.3309125770884</v>
      </c>
      <c r="Z24" s="150" t="s">
        <v>300</v>
      </c>
      <c r="AA24" s="151" t="s">
        <v>300</v>
      </c>
      <c r="AB24" s="152"/>
      <c r="AC24" s="51">
        <f>AC22+AC23</f>
        <v>3595.8896521739116</v>
      </c>
      <c r="AE24" s="150" t="s">
        <v>300</v>
      </c>
      <c r="AF24" s="151" t="s">
        <v>300</v>
      </c>
      <c r="AG24" s="152"/>
      <c r="AH24" s="51">
        <f t="shared" si="0"/>
        <v>87883.909052441595</v>
      </c>
    </row>
    <row r="25" spans="1:34">
      <c r="A25" s="12" t="s">
        <v>24</v>
      </c>
      <c r="B25" s="4"/>
      <c r="C25" s="4"/>
      <c r="D25" s="5"/>
      <c r="F25" s="12" t="s">
        <v>24</v>
      </c>
      <c r="G25" s="12"/>
      <c r="H25" s="12"/>
      <c r="I25" s="56"/>
      <c r="K25" s="13" t="s">
        <v>24</v>
      </c>
      <c r="L25" s="13"/>
      <c r="M25" s="13"/>
      <c r="N25" s="56"/>
      <c r="P25" s="13" t="s">
        <v>24</v>
      </c>
      <c r="Q25" s="13"/>
      <c r="R25" s="13"/>
      <c r="S25" s="56"/>
      <c r="U25" s="13" t="s">
        <v>24</v>
      </c>
      <c r="V25" s="13"/>
      <c r="W25" s="13"/>
      <c r="X25" s="56"/>
      <c r="AC25" s="56"/>
    </row>
    <row r="26" spans="1:34">
      <c r="A26" s="15" t="s">
        <v>13</v>
      </c>
      <c r="B26" s="15" t="s">
        <v>14</v>
      </c>
      <c r="C26" s="15" t="s">
        <v>15</v>
      </c>
      <c r="D26" s="16" t="s">
        <v>16</v>
      </c>
      <c r="F26" s="17" t="s">
        <v>13</v>
      </c>
      <c r="G26" s="15" t="s">
        <v>14</v>
      </c>
      <c r="H26" s="17" t="s">
        <v>25</v>
      </c>
      <c r="I26" s="18" t="s">
        <v>7</v>
      </c>
      <c r="K26" s="19" t="s">
        <v>13</v>
      </c>
      <c r="L26" s="20" t="s">
        <v>29</v>
      </c>
      <c r="M26" s="20" t="s">
        <v>15</v>
      </c>
      <c r="N26" s="20" t="s">
        <v>7</v>
      </c>
      <c r="P26" s="14" t="s">
        <v>13</v>
      </c>
      <c r="Q26" s="21" t="s">
        <v>14</v>
      </c>
      <c r="R26" s="22" t="s">
        <v>25</v>
      </c>
      <c r="S26" s="98" t="s">
        <v>7</v>
      </c>
      <c r="U26" s="14" t="s">
        <v>13</v>
      </c>
      <c r="V26" s="21" t="s">
        <v>14</v>
      </c>
      <c r="W26" s="22" t="s">
        <v>25</v>
      </c>
      <c r="X26" s="23" t="s">
        <v>7</v>
      </c>
    </row>
    <row r="27" spans="1:34" ht="49.5">
      <c r="A27" s="24" t="s">
        <v>17</v>
      </c>
      <c r="B27" s="25">
        <v>44916</v>
      </c>
      <c r="C27" s="26">
        <v>401014401133659</v>
      </c>
      <c r="D27" s="78">
        <v>11584</v>
      </c>
      <c r="F27" s="14" t="s">
        <v>26</v>
      </c>
      <c r="G27" s="27">
        <v>44423</v>
      </c>
      <c r="H27" s="28">
        <v>401014401445227</v>
      </c>
      <c r="I27" s="96">
        <v>5143.55</v>
      </c>
      <c r="K27" s="14" t="s">
        <v>30</v>
      </c>
      <c r="L27" s="21">
        <v>2023</v>
      </c>
      <c r="M27" s="22">
        <v>401014401007388</v>
      </c>
      <c r="N27" s="97">
        <v>18140</v>
      </c>
      <c r="P27" s="14" t="s">
        <v>33</v>
      </c>
      <c r="Q27" s="21">
        <v>2023</v>
      </c>
      <c r="R27" s="95" t="s">
        <v>301</v>
      </c>
      <c r="S27" s="79">
        <v>11900.4</v>
      </c>
      <c r="U27" s="14" t="s">
        <v>37</v>
      </c>
      <c r="V27" s="48">
        <v>45045</v>
      </c>
      <c r="W27" s="22">
        <v>401014401342814</v>
      </c>
      <c r="X27" s="77">
        <v>13591.82</v>
      </c>
    </row>
    <row r="28" spans="1:34" ht="36.75" customHeight="1">
      <c r="A28" s="4"/>
      <c r="B28" s="4"/>
      <c r="C28" s="4"/>
      <c r="D28" s="5"/>
      <c r="K28" s="14" t="s">
        <v>267</v>
      </c>
      <c r="L28" s="48">
        <v>45557</v>
      </c>
      <c r="M28" s="95" t="s">
        <v>268</v>
      </c>
      <c r="N28" s="96">
        <v>2816.51</v>
      </c>
    </row>
    <row r="29" spans="1:34">
      <c r="A29" s="4"/>
      <c r="C29" s="4"/>
      <c r="D29" s="5"/>
      <c r="F29" s="55"/>
    </row>
    <row r="30" spans="1:34">
      <c r="F30" s="55"/>
    </row>
    <row r="31" spans="1:34">
      <c r="F31" s="55"/>
      <c r="G31"/>
    </row>
    <row r="32" spans="1:34">
      <c r="F32" s="55"/>
    </row>
    <row r="33" spans="6:23">
      <c r="F33" s="55"/>
    </row>
    <row r="34" spans="6:23">
      <c r="F34" s="55"/>
    </row>
    <row r="37" spans="6:23">
      <c r="W37" s="2">
        <f>V37+V29</f>
        <v>0</v>
      </c>
    </row>
    <row r="56" spans="1:4">
      <c r="A56" s="29"/>
      <c r="B56" s="29"/>
      <c r="C56" s="29"/>
      <c r="D56" s="30"/>
    </row>
    <row r="57" spans="1:4">
      <c r="A57" s="29"/>
      <c r="B57" s="29"/>
      <c r="C57" s="29"/>
      <c r="D57" s="30"/>
    </row>
    <row r="85" spans="1:4">
      <c r="A85" s="29"/>
      <c r="B85" s="29"/>
      <c r="C85" s="29"/>
      <c r="D85" s="31"/>
    </row>
    <row r="86" spans="1:4">
      <c r="A86" s="29"/>
      <c r="B86" s="29"/>
      <c r="C86" s="29"/>
      <c r="D86" s="31"/>
    </row>
    <row r="87" spans="1:4">
      <c r="A87" s="29"/>
      <c r="B87" s="29"/>
      <c r="C87" s="29"/>
      <c r="D87" s="31"/>
    </row>
    <row r="88" spans="1:4">
      <c r="A88" s="29"/>
      <c r="B88" s="29"/>
      <c r="C88" s="29"/>
      <c r="D88" s="31"/>
    </row>
    <row r="89" spans="1:4">
      <c r="A89" s="29"/>
      <c r="B89" s="29"/>
      <c r="C89" s="29"/>
      <c r="D89" s="31"/>
    </row>
    <row r="90" spans="1:4">
      <c r="A90" s="29"/>
      <c r="B90" s="29"/>
      <c r="C90" s="29"/>
      <c r="D90" s="31"/>
    </row>
    <row r="91" spans="1:4">
      <c r="A91" s="29"/>
      <c r="B91" s="29"/>
      <c r="C91" s="29"/>
      <c r="D91" s="31"/>
    </row>
    <row r="92" spans="1:4">
      <c r="A92" s="29"/>
      <c r="B92" s="29"/>
      <c r="C92" s="29"/>
      <c r="D92" s="31"/>
    </row>
    <row r="93" spans="1:4">
      <c r="A93" s="29"/>
      <c r="B93" s="29"/>
      <c r="C93" s="29"/>
      <c r="D93" s="31"/>
    </row>
    <row r="94" spans="1:4">
      <c r="A94" s="29"/>
      <c r="B94" s="29"/>
      <c r="C94" s="29"/>
      <c r="D94" s="31"/>
    </row>
    <row r="95" spans="1:4">
      <c r="A95" s="29"/>
      <c r="B95" s="29"/>
      <c r="C95" s="29"/>
      <c r="D95" s="31"/>
    </row>
    <row r="96" spans="1:4">
      <c r="A96" s="29"/>
      <c r="B96" s="29"/>
      <c r="C96" s="29"/>
      <c r="D96" s="31"/>
    </row>
    <row r="97" spans="1:4">
      <c r="A97" s="29"/>
      <c r="B97" s="29"/>
      <c r="C97" s="29"/>
      <c r="D97" s="31"/>
    </row>
    <row r="98" spans="1:4">
      <c r="A98" s="29"/>
      <c r="B98" s="29"/>
      <c r="C98" s="29"/>
      <c r="D98" s="31"/>
    </row>
    <row r="99" spans="1:4">
      <c r="A99" s="29"/>
      <c r="B99" s="29"/>
      <c r="C99" s="29"/>
      <c r="D99" s="31"/>
    </row>
    <row r="100" spans="1:4">
      <c r="A100" s="29"/>
      <c r="B100" s="29"/>
      <c r="C100" s="29"/>
      <c r="D100" s="31"/>
    </row>
    <row r="101" spans="1:4">
      <c r="A101" s="29"/>
      <c r="B101" s="29"/>
      <c r="C101" s="29"/>
      <c r="D101" s="31"/>
    </row>
    <row r="102" spans="1:4">
      <c r="A102" s="29"/>
      <c r="B102" s="29"/>
      <c r="C102" s="29"/>
      <c r="D102" s="31"/>
    </row>
    <row r="103" spans="1:4">
      <c r="A103" s="29"/>
      <c r="B103" s="29"/>
      <c r="C103" s="29"/>
      <c r="D103" s="31"/>
    </row>
    <row r="104" spans="1:4">
      <c r="A104" s="29"/>
      <c r="B104" s="29"/>
      <c r="C104" s="29"/>
      <c r="D104" s="31"/>
    </row>
    <row r="105" spans="1:4">
      <c r="A105" s="29"/>
      <c r="B105" s="29"/>
      <c r="C105" s="29"/>
      <c r="D105" s="31"/>
    </row>
    <row r="106" spans="1:4">
      <c r="A106" s="29"/>
      <c r="B106" s="29"/>
      <c r="C106" s="29"/>
      <c r="D106" s="31"/>
    </row>
    <row r="107" spans="1:4">
      <c r="A107" s="29"/>
      <c r="B107" s="29"/>
      <c r="C107" s="29"/>
      <c r="D107" s="31"/>
    </row>
    <row r="108" spans="1:4">
      <c r="A108" s="29"/>
      <c r="B108" s="29"/>
      <c r="C108" s="29"/>
      <c r="D108" s="31"/>
    </row>
    <row r="109" spans="1:4">
      <c r="A109" s="29"/>
      <c r="B109" s="29"/>
      <c r="C109" s="29"/>
      <c r="D109" s="31"/>
    </row>
    <row r="110" spans="1:4">
      <c r="A110" s="29"/>
      <c r="B110" s="29"/>
      <c r="C110" s="29"/>
      <c r="D110" s="31"/>
    </row>
    <row r="111" spans="1:4">
      <c r="A111" s="29"/>
      <c r="B111" s="29"/>
      <c r="C111" s="29"/>
      <c r="D111" s="31"/>
    </row>
    <row r="112" spans="1:4">
      <c r="A112" s="29"/>
      <c r="B112" s="29"/>
      <c r="C112" s="29"/>
      <c r="D112" s="31"/>
    </row>
    <row r="113" spans="1:4">
      <c r="A113" s="29"/>
      <c r="B113" s="29"/>
      <c r="C113" s="29"/>
      <c r="D113" s="31"/>
    </row>
    <row r="114" spans="1:4">
      <c r="A114" s="29"/>
      <c r="B114" s="29"/>
      <c r="C114" s="29"/>
      <c r="D114" s="31"/>
    </row>
    <row r="115" spans="1:4">
      <c r="A115" s="29"/>
      <c r="B115" s="29"/>
      <c r="C115" s="29"/>
      <c r="D115" s="31"/>
    </row>
    <row r="116" spans="1:4">
      <c r="A116" s="29"/>
      <c r="B116" s="29"/>
      <c r="C116" s="29"/>
      <c r="D116" s="31"/>
    </row>
    <row r="117" spans="1:4">
      <c r="A117" s="29"/>
      <c r="B117" s="29"/>
      <c r="C117" s="29"/>
      <c r="D117" s="31"/>
    </row>
    <row r="118" spans="1:4">
      <c r="A118" s="29"/>
      <c r="B118" s="29"/>
      <c r="C118" s="29"/>
      <c r="D118" s="31"/>
    </row>
    <row r="119" spans="1:4">
      <c r="A119" s="29"/>
      <c r="B119" s="29"/>
      <c r="C119" s="29"/>
      <c r="D119" s="31"/>
    </row>
    <row r="120" spans="1:4">
      <c r="A120" s="29"/>
      <c r="B120" s="29"/>
      <c r="C120" s="29"/>
      <c r="D120" s="31"/>
    </row>
    <row r="121" spans="1:4">
      <c r="A121" s="29"/>
      <c r="B121" s="29"/>
      <c r="C121" s="29"/>
      <c r="D121" s="31"/>
    </row>
    <row r="122" spans="1:4">
      <c r="A122" s="29"/>
      <c r="B122" s="29"/>
      <c r="C122" s="29"/>
      <c r="D122" s="31"/>
    </row>
    <row r="123" spans="1:4">
      <c r="A123" s="29"/>
      <c r="B123" s="29"/>
      <c r="C123" s="29"/>
      <c r="D123" s="31"/>
    </row>
    <row r="124" spans="1:4">
      <c r="A124" s="29"/>
      <c r="B124" s="29"/>
      <c r="C124" s="29"/>
      <c r="D124" s="31"/>
    </row>
    <row r="125" spans="1:4">
      <c r="A125" s="29"/>
      <c r="B125" s="29"/>
      <c r="C125" s="29"/>
      <c r="D125" s="31"/>
    </row>
    <row r="126" spans="1:4">
      <c r="A126" s="29"/>
      <c r="B126" s="29"/>
      <c r="C126" s="29"/>
      <c r="D126" s="31"/>
    </row>
    <row r="127" spans="1:4">
      <c r="A127" s="29"/>
      <c r="B127" s="29"/>
      <c r="C127" s="29"/>
      <c r="D127" s="31"/>
    </row>
    <row r="128" spans="1:4">
      <c r="A128" s="29"/>
      <c r="B128" s="29"/>
      <c r="C128" s="29"/>
      <c r="D128" s="31"/>
    </row>
    <row r="129" spans="1:4">
      <c r="A129" s="29"/>
      <c r="B129" s="29"/>
      <c r="C129" s="29"/>
      <c r="D129" s="31"/>
    </row>
    <row r="130" spans="1:4">
      <c r="A130" s="29"/>
      <c r="B130" s="29"/>
      <c r="C130" s="29"/>
      <c r="D130" s="31"/>
    </row>
    <row r="131" spans="1:4">
      <c r="A131" s="29"/>
      <c r="B131" s="29"/>
      <c r="C131" s="29"/>
      <c r="D131" s="31"/>
    </row>
    <row r="132" spans="1:4">
      <c r="A132" s="29"/>
      <c r="B132" s="29"/>
      <c r="C132" s="29"/>
      <c r="D132" s="31"/>
    </row>
    <row r="133" spans="1:4">
      <c r="A133" s="29"/>
      <c r="B133" s="29"/>
      <c r="C133" s="29"/>
      <c r="D133" s="31"/>
    </row>
    <row r="134" spans="1:4">
      <c r="A134" s="29"/>
      <c r="B134" s="29"/>
      <c r="C134" s="29"/>
      <c r="D134" s="31"/>
    </row>
    <row r="135" spans="1:4">
      <c r="A135" s="29"/>
      <c r="B135" s="29"/>
      <c r="C135" s="29"/>
      <c r="D135" s="31"/>
    </row>
    <row r="136" spans="1:4">
      <c r="A136" s="29"/>
      <c r="B136" s="29"/>
      <c r="C136" s="29"/>
      <c r="D136" s="31"/>
    </row>
    <row r="137" spans="1:4">
      <c r="A137" s="29"/>
      <c r="B137" s="29"/>
      <c r="C137" s="29"/>
      <c r="D137" s="31"/>
    </row>
    <row r="138" spans="1:4">
      <c r="A138" s="29"/>
      <c r="B138" s="29"/>
      <c r="C138" s="29"/>
      <c r="D138" s="31"/>
    </row>
    <row r="139" spans="1:4">
      <c r="A139" s="29"/>
      <c r="B139" s="29"/>
      <c r="C139" s="29"/>
      <c r="D139" s="31"/>
    </row>
    <row r="140" spans="1:4">
      <c r="A140" s="29"/>
      <c r="B140" s="29"/>
      <c r="C140" s="29"/>
      <c r="D140" s="31"/>
    </row>
    <row r="141" spans="1:4">
      <c r="A141" s="29"/>
      <c r="B141" s="29"/>
      <c r="C141" s="29"/>
      <c r="D141" s="31"/>
    </row>
    <row r="142" spans="1:4">
      <c r="A142" s="29"/>
      <c r="B142" s="29"/>
      <c r="C142" s="29"/>
      <c r="D142" s="31"/>
    </row>
    <row r="143" spans="1:4">
      <c r="A143" s="29"/>
      <c r="B143" s="29"/>
      <c r="C143" s="29"/>
      <c r="D143" s="31"/>
    </row>
    <row r="144" spans="1:4">
      <c r="A144" s="29"/>
      <c r="B144" s="29"/>
      <c r="C144" s="29"/>
      <c r="D144" s="31"/>
    </row>
    <row r="145" spans="1:4">
      <c r="A145" s="29"/>
      <c r="B145" s="29"/>
      <c r="C145" s="29"/>
      <c r="D145" s="31"/>
    </row>
    <row r="146" spans="1:4">
      <c r="A146" s="29"/>
      <c r="B146" s="29"/>
      <c r="C146" s="29"/>
      <c r="D146" s="31"/>
    </row>
    <row r="147" spans="1:4">
      <c r="A147" s="29"/>
      <c r="B147" s="29"/>
      <c r="C147" s="29"/>
      <c r="D147" s="31"/>
    </row>
    <row r="148" spans="1:4">
      <c r="A148" s="29"/>
      <c r="B148" s="29"/>
      <c r="C148" s="29"/>
      <c r="D148" s="31"/>
    </row>
    <row r="149" spans="1:4">
      <c r="A149" s="29"/>
      <c r="B149" s="29"/>
      <c r="C149" s="29"/>
      <c r="D149" s="31"/>
    </row>
    <row r="150" spans="1:4">
      <c r="A150" s="29"/>
      <c r="B150" s="29"/>
      <c r="C150" s="29"/>
      <c r="D150" s="31"/>
    </row>
    <row r="151" spans="1:4">
      <c r="A151" s="29"/>
      <c r="B151" s="29"/>
      <c r="C151" s="29"/>
      <c r="D151" s="31"/>
    </row>
    <row r="152" spans="1:4">
      <c r="A152" s="29"/>
      <c r="B152" s="29"/>
      <c r="C152" s="29"/>
      <c r="D152" s="31"/>
    </row>
    <row r="153" spans="1:4">
      <c r="A153" s="29"/>
      <c r="B153" s="29"/>
      <c r="C153" s="29"/>
      <c r="D153" s="31"/>
    </row>
    <row r="154" spans="1:4">
      <c r="A154" s="29"/>
      <c r="B154" s="29"/>
      <c r="C154" s="29"/>
      <c r="D154" s="31"/>
    </row>
    <row r="155" spans="1:4">
      <c r="A155" s="29"/>
      <c r="B155" s="29"/>
      <c r="C155" s="29"/>
      <c r="D155" s="31"/>
    </row>
    <row r="156" spans="1:4">
      <c r="A156" s="29"/>
      <c r="B156" s="29"/>
      <c r="C156" s="29"/>
      <c r="D156" s="31"/>
    </row>
    <row r="157" spans="1:4">
      <c r="A157" s="29"/>
      <c r="B157" s="29"/>
      <c r="C157" s="29"/>
      <c r="D157" s="31"/>
    </row>
    <row r="158" spans="1:4">
      <c r="A158" s="29"/>
      <c r="B158" s="29"/>
      <c r="C158" s="29"/>
      <c r="D158" s="31"/>
    </row>
    <row r="159" spans="1:4">
      <c r="A159" s="29"/>
      <c r="B159" s="29"/>
      <c r="C159" s="29"/>
      <c r="D159" s="31"/>
    </row>
    <row r="160" spans="1:4">
      <c r="A160" s="29"/>
      <c r="B160" s="29"/>
      <c r="C160" s="29"/>
      <c r="D160" s="31"/>
    </row>
    <row r="161" spans="1:4">
      <c r="A161" s="29"/>
      <c r="B161" s="29"/>
      <c r="C161" s="29"/>
      <c r="D161" s="31"/>
    </row>
    <row r="162" spans="1:4">
      <c r="A162" s="29"/>
      <c r="B162" s="29"/>
      <c r="C162" s="29"/>
      <c r="D162" s="31"/>
    </row>
    <row r="163" spans="1:4">
      <c r="A163" s="29"/>
      <c r="B163" s="29"/>
      <c r="C163" s="29"/>
      <c r="D163" s="31"/>
    </row>
    <row r="164" spans="1:4">
      <c r="A164" s="29"/>
      <c r="B164" s="29"/>
      <c r="C164" s="29"/>
      <c r="D164" s="31"/>
    </row>
    <row r="165" spans="1:4">
      <c r="A165" s="29"/>
      <c r="B165" s="29"/>
      <c r="C165" s="29"/>
      <c r="D165" s="31"/>
    </row>
    <row r="166" spans="1:4">
      <c r="A166" s="29"/>
      <c r="B166" s="29"/>
      <c r="C166" s="29"/>
      <c r="D166" s="31"/>
    </row>
    <row r="167" spans="1:4">
      <c r="A167" s="29"/>
      <c r="B167" s="29"/>
      <c r="C167" s="29"/>
      <c r="D167" s="31"/>
    </row>
    <row r="168" spans="1:4">
      <c r="A168" s="29"/>
      <c r="B168" s="29"/>
      <c r="C168" s="29"/>
      <c r="D168" s="31"/>
    </row>
    <row r="169" spans="1:4">
      <c r="A169" s="29"/>
      <c r="B169" s="29"/>
      <c r="C169" s="29"/>
      <c r="D169" s="31"/>
    </row>
    <row r="170" spans="1:4">
      <c r="A170" s="29"/>
      <c r="B170" s="29"/>
      <c r="C170" s="29"/>
      <c r="D170" s="31"/>
    </row>
    <row r="171" spans="1:4">
      <c r="A171" s="29"/>
      <c r="B171" s="29"/>
      <c r="C171" s="29"/>
      <c r="D171" s="31"/>
    </row>
  </sheetData>
  <mergeCells count="174">
    <mergeCell ref="AE23:AG23"/>
    <mergeCell ref="AE24:AG24"/>
    <mergeCell ref="P23:R23"/>
    <mergeCell ref="P24:R24"/>
    <mergeCell ref="K23:M23"/>
    <mergeCell ref="K24:M24"/>
    <mergeCell ref="K10:M10"/>
    <mergeCell ref="K11:M11"/>
    <mergeCell ref="K12:M12"/>
    <mergeCell ref="K13:M13"/>
    <mergeCell ref="K14:M14"/>
    <mergeCell ref="AE17:AG17"/>
    <mergeCell ref="AE18:AG18"/>
    <mergeCell ref="U20:W20"/>
    <mergeCell ref="U21:W21"/>
    <mergeCell ref="U22:W22"/>
    <mergeCell ref="U13:W13"/>
    <mergeCell ref="P10:R10"/>
    <mergeCell ref="P11:R11"/>
    <mergeCell ref="P12:R12"/>
    <mergeCell ref="P13:R13"/>
    <mergeCell ref="P21:R21"/>
    <mergeCell ref="P22:R22"/>
    <mergeCell ref="K15:M15"/>
    <mergeCell ref="K9:M9"/>
    <mergeCell ref="F23:H23"/>
    <mergeCell ref="F24:H24"/>
    <mergeCell ref="A23:C23"/>
    <mergeCell ref="A24:C24"/>
    <mergeCell ref="K8:M8"/>
    <mergeCell ref="P8:R8"/>
    <mergeCell ref="U8:W8"/>
    <mergeCell ref="Z8:AB8"/>
    <mergeCell ref="U23:W23"/>
    <mergeCell ref="U24:W24"/>
    <mergeCell ref="Z23:AB23"/>
    <mergeCell ref="Z24:AB24"/>
    <mergeCell ref="Z17:AB17"/>
    <mergeCell ref="Z18:AB18"/>
    <mergeCell ref="A21:C21"/>
    <mergeCell ref="A22:C22"/>
    <mergeCell ref="A19:C19"/>
    <mergeCell ref="A11:C11"/>
    <mergeCell ref="A12:C12"/>
    <mergeCell ref="A13:C13"/>
    <mergeCell ref="U17:W17"/>
    <mergeCell ref="U18:W18"/>
    <mergeCell ref="U19:W19"/>
    <mergeCell ref="P2:Q2"/>
    <mergeCell ref="R2:S2"/>
    <mergeCell ref="P3:Q3"/>
    <mergeCell ref="U10:W10"/>
    <mergeCell ref="U11:W11"/>
    <mergeCell ref="R3:S3"/>
    <mergeCell ref="P5:R5"/>
    <mergeCell ref="P7:R7"/>
    <mergeCell ref="P20:R20"/>
    <mergeCell ref="P14:R14"/>
    <mergeCell ref="P15:R15"/>
    <mergeCell ref="P16:R16"/>
    <mergeCell ref="P17:R17"/>
    <mergeCell ref="P18:R18"/>
    <mergeCell ref="P19:R19"/>
    <mergeCell ref="U9:W9"/>
    <mergeCell ref="A20:C20"/>
    <mergeCell ref="F1:I1"/>
    <mergeCell ref="F2:G2"/>
    <mergeCell ref="H2:I2"/>
    <mergeCell ref="F3:G3"/>
    <mergeCell ref="H3:I3"/>
    <mergeCell ref="A14:C14"/>
    <mergeCell ref="A15:C15"/>
    <mergeCell ref="A16:C16"/>
    <mergeCell ref="A17:C17"/>
    <mergeCell ref="A18:C18"/>
    <mergeCell ref="A1:D1"/>
    <mergeCell ref="A9:C9"/>
    <mergeCell ref="A10:C10"/>
    <mergeCell ref="F5:H5"/>
    <mergeCell ref="F6:H6"/>
    <mergeCell ref="F7:H7"/>
    <mergeCell ref="F9:H9"/>
    <mergeCell ref="F10:H10"/>
    <mergeCell ref="F11:H11"/>
    <mergeCell ref="A8:C8"/>
    <mergeCell ref="F8:H8"/>
    <mergeCell ref="K6:M6"/>
    <mergeCell ref="F22:H22"/>
    <mergeCell ref="K1:N1"/>
    <mergeCell ref="K2:L2"/>
    <mergeCell ref="M2:N2"/>
    <mergeCell ref="K3:L3"/>
    <mergeCell ref="M3:N3"/>
    <mergeCell ref="F16:H16"/>
    <mergeCell ref="F17:H17"/>
    <mergeCell ref="F18:H18"/>
    <mergeCell ref="F19:H19"/>
    <mergeCell ref="F20:H20"/>
    <mergeCell ref="F21:H21"/>
    <mergeCell ref="F12:H12"/>
    <mergeCell ref="F13:H13"/>
    <mergeCell ref="F14:H14"/>
    <mergeCell ref="F15:H15"/>
    <mergeCell ref="K16:M16"/>
    <mergeCell ref="K17:M17"/>
    <mergeCell ref="K18:M18"/>
    <mergeCell ref="K19:M19"/>
    <mergeCell ref="K20:M20"/>
    <mergeCell ref="K21:M21"/>
    <mergeCell ref="K22:M22"/>
    <mergeCell ref="K5:M5"/>
    <mergeCell ref="U12:W12"/>
    <mergeCell ref="P1:S1"/>
    <mergeCell ref="P6:R6"/>
    <mergeCell ref="P9:R9"/>
    <mergeCell ref="Z20:AB20"/>
    <mergeCell ref="Z21:AB21"/>
    <mergeCell ref="Z22:AB22"/>
    <mergeCell ref="Z13:AB13"/>
    <mergeCell ref="Z14:AB14"/>
    <mergeCell ref="Z15:AB15"/>
    <mergeCell ref="Z16:AB16"/>
    <mergeCell ref="U14:W14"/>
    <mergeCell ref="U15:W15"/>
    <mergeCell ref="U16:W16"/>
    <mergeCell ref="Z19:AB19"/>
    <mergeCell ref="Z9:AB9"/>
    <mergeCell ref="Z10:AB10"/>
    <mergeCell ref="Z11:AB11"/>
    <mergeCell ref="Z12:AB12"/>
    <mergeCell ref="W2:X2"/>
    <mergeCell ref="U3:V3"/>
    <mergeCell ref="W3:X3"/>
    <mergeCell ref="U5:W5"/>
    <mergeCell ref="K7:M7"/>
    <mergeCell ref="AE1:AH1"/>
    <mergeCell ref="AE2:AF2"/>
    <mergeCell ref="AG2:AH2"/>
    <mergeCell ref="AE5:AG5"/>
    <mergeCell ref="A2:B2"/>
    <mergeCell ref="C2:D2"/>
    <mergeCell ref="A3:B3"/>
    <mergeCell ref="C3:D3"/>
    <mergeCell ref="Z6:AB6"/>
    <mergeCell ref="Z7:AB7"/>
    <mergeCell ref="Z1:AC1"/>
    <mergeCell ref="Z2:AA2"/>
    <mergeCell ref="AB2:AC2"/>
    <mergeCell ref="Z3:AA3"/>
    <mergeCell ref="AB3:AC3"/>
    <mergeCell ref="Z5:AB5"/>
    <mergeCell ref="U1:X1"/>
    <mergeCell ref="U2:V2"/>
    <mergeCell ref="U7:W7"/>
    <mergeCell ref="U6:W6"/>
    <mergeCell ref="A5:C5"/>
    <mergeCell ref="A6:C6"/>
    <mergeCell ref="A7:C7"/>
    <mergeCell ref="AE19:AG19"/>
    <mergeCell ref="AE20:AG20"/>
    <mergeCell ref="AE21:AG21"/>
    <mergeCell ref="AE22:AG22"/>
    <mergeCell ref="AE3:AH3"/>
    <mergeCell ref="AE13:AG13"/>
    <mergeCell ref="AE14:AG14"/>
    <mergeCell ref="AE15:AG15"/>
    <mergeCell ref="AE16:AG16"/>
    <mergeCell ref="AE6:AG6"/>
    <mergeCell ref="AE7:AG7"/>
    <mergeCell ref="AE9:AG9"/>
    <mergeCell ref="AE10:AG10"/>
    <mergeCell ref="AE11:AG11"/>
    <mergeCell ref="AE12:AG12"/>
    <mergeCell ref="AE8:AG8"/>
  </mergeCells>
  <hyperlinks>
    <hyperlink ref="A1:D1" location="'قائمة المستثمرين'!A1" display="تقرير المستثمر :   مقبل ناجي عوض العلوني   ( 31-12-2024 )" xr:uid="{42D393A6-164D-482C-AD94-53E2DAF9EA4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939E-494D-43E6-A95D-ECA39072018B}">
  <sheetPr>
    <tabColor rgb="FFFF0000"/>
  </sheetPr>
  <dimension ref="A1:X33"/>
  <sheetViews>
    <sheetView rightToLeft="1" topLeftCell="J1" zoomScale="65" workbookViewId="0">
      <selection activeCell="K7" sqref="K7:M7"/>
    </sheetView>
  </sheetViews>
  <sheetFormatPr defaultColWidth="8.875" defaultRowHeight="20.25"/>
  <cols>
    <col min="1" max="1" width="33.625" bestFit="1" customWidth="1"/>
    <col min="2" max="2" width="12.625" customWidth="1"/>
    <col min="3" max="3" width="25.625" bestFit="1" customWidth="1"/>
    <col min="4" max="4" width="13.375" customWidth="1"/>
    <col min="5" max="5" width="1" style="32" customWidth="1"/>
    <col min="6" max="6" width="32.125" customWidth="1"/>
    <col min="7" max="7" width="14" customWidth="1"/>
    <col min="8" max="8" width="24.625" customWidth="1"/>
    <col min="9" max="9" width="13.5" customWidth="1"/>
    <col min="10" max="10" width="1" style="32" customWidth="1"/>
    <col min="11" max="11" width="32.125" customWidth="1"/>
    <col min="12" max="12" width="14" customWidth="1"/>
    <col min="13" max="13" width="24.625" customWidth="1"/>
    <col min="14" max="14" width="13.5" customWidth="1"/>
    <col min="15" max="15" width="1" style="32" customWidth="1"/>
    <col min="16" max="16" width="32.125" customWidth="1"/>
    <col min="17" max="17" width="14" customWidth="1"/>
    <col min="18" max="19" width="24.625" customWidth="1"/>
    <col min="20" max="20" width="1.125" style="65" customWidth="1"/>
    <col min="21" max="21" width="32.125" customWidth="1"/>
    <col min="22" max="22" width="12.5" customWidth="1"/>
    <col min="23" max="23" width="34.625" customWidth="1"/>
    <col min="24" max="24" width="19.125" customWidth="1"/>
  </cols>
  <sheetData>
    <row r="1" spans="1:24" ht="18" thickBot="1">
      <c r="A1" s="135" t="s">
        <v>57</v>
      </c>
      <c r="B1" s="135"/>
      <c r="C1" s="135"/>
      <c r="D1" s="135"/>
      <c r="E1" s="34"/>
      <c r="F1" s="135" t="s">
        <v>57</v>
      </c>
      <c r="G1" s="135"/>
      <c r="H1" s="135"/>
      <c r="I1" s="135"/>
      <c r="J1" s="34"/>
      <c r="K1" s="135" t="s">
        <v>57</v>
      </c>
      <c r="L1" s="135"/>
      <c r="M1" s="135"/>
      <c r="N1" s="135"/>
      <c r="O1" s="34"/>
      <c r="P1" s="175" t="s">
        <v>57</v>
      </c>
      <c r="Q1" s="175"/>
      <c r="R1" s="175"/>
      <c r="S1" s="175"/>
      <c r="T1" s="58"/>
      <c r="U1" s="177" t="s">
        <v>57</v>
      </c>
      <c r="V1" s="177"/>
      <c r="W1" s="177"/>
      <c r="X1" s="177"/>
    </row>
    <row r="2" spans="1:24" ht="21" thickBot="1">
      <c r="A2" s="136" t="s">
        <v>1</v>
      </c>
      <c r="B2" s="136"/>
      <c r="C2" s="173" t="s">
        <v>35</v>
      </c>
      <c r="D2" s="174"/>
      <c r="F2" s="136" t="s">
        <v>1</v>
      </c>
      <c r="G2" s="136"/>
      <c r="H2" s="173" t="s">
        <v>18</v>
      </c>
      <c r="I2" s="174"/>
      <c r="K2" s="136" t="s">
        <v>1</v>
      </c>
      <c r="L2" s="136"/>
      <c r="M2" s="173" t="s">
        <v>237</v>
      </c>
      <c r="N2" s="174"/>
      <c r="P2" s="136" t="s">
        <v>1</v>
      </c>
      <c r="Q2" s="136"/>
      <c r="R2" s="173" t="s">
        <v>238</v>
      </c>
      <c r="S2" s="176"/>
      <c r="T2" s="59"/>
      <c r="U2" s="177" t="s">
        <v>1</v>
      </c>
      <c r="V2" s="178"/>
      <c r="W2" s="179" t="str">
        <f>R2&amp;" - "&amp;M2&amp;" - "&amp;H2&amp;" - "&amp;C2</f>
        <v>سزوكي دزير -2024 - تويوتا يارس -2024 - يارس أبيض 2021 - يارس فضي 2021</v>
      </c>
      <c r="X2" s="180"/>
    </row>
    <row r="3" spans="1:24" ht="21" thickBot="1">
      <c r="A3" s="136" t="s">
        <v>2</v>
      </c>
      <c r="B3" s="136"/>
      <c r="C3" s="142" t="s">
        <v>58</v>
      </c>
      <c r="D3" s="143"/>
      <c r="F3" s="136" t="s">
        <v>2</v>
      </c>
      <c r="G3" s="136"/>
      <c r="H3" s="142" t="s">
        <v>62</v>
      </c>
      <c r="I3" s="143"/>
      <c r="K3" s="136" t="s">
        <v>2</v>
      </c>
      <c r="L3" s="136"/>
      <c r="M3" s="142" t="s">
        <v>236</v>
      </c>
      <c r="N3" s="143"/>
      <c r="P3" s="136" t="s">
        <v>2</v>
      </c>
      <c r="Q3" s="136"/>
      <c r="R3" s="142" t="s">
        <v>239</v>
      </c>
      <c r="S3" s="143"/>
      <c r="T3" s="60"/>
      <c r="U3" s="177" t="s">
        <v>2</v>
      </c>
      <c r="V3" s="178"/>
      <c r="W3" s="142" t="str">
        <f>H3&amp;" - "&amp; C3&amp;" - "&amp;M3&amp;" - "&amp;R3</f>
        <v>2073 DHU - 2071 DHU - ر ق و3938 - ر ق ه 6756</v>
      </c>
      <c r="X3" s="143"/>
    </row>
    <row r="4" spans="1:24" ht="21" thickBot="1">
      <c r="A4" s="4"/>
      <c r="B4" s="4"/>
      <c r="C4" s="4"/>
      <c r="D4" s="5"/>
      <c r="F4" s="4"/>
      <c r="G4" s="4"/>
      <c r="H4" s="4"/>
      <c r="I4" s="5"/>
      <c r="K4" s="4"/>
      <c r="L4" s="4"/>
      <c r="M4" s="4" t="s">
        <v>240</v>
      </c>
      <c r="N4" s="5"/>
      <c r="P4" s="4"/>
      <c r="Q4" s="4"/>
      <c r="R4" s="4"/>
      <c r="S4" s="4" t="s">
        <v>241</v>
      </c>
      <c r="T4" s="61"/>
      <c r="U4" s="4"/>
      <c r="V4" s="4"/>
      <c r="W4" s="4"/>
      <c r="X4" s="5"/>
    </row>
    <row r="5" spans="1:24" ht="21" thickBot="1">
      <c r="A5" s="144" t="s">
        <v>6</v>
      </c>
      <c r="B5" s="145"/>
      <c r="C5" s="146"/>
      <c r="D5" s="8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T5" s="62"/>
      <c r="U5" s="144" t="s">
        <v>6</v>
      </c>
      <c r="V5" s="145"/>
      <c r="W5" s="146"/>
      <c r="X5" s="50" t="s">
        <v>7</v>
      </c>
    </row>
    <row r="6" spans="1:24" ht="21" thickBot="1">
      <c r="A6" s="147" t="s">
        <v>294</v>
      </c>
      <c r="B6" s="148"/>
      <c r="C6" s="149"/>
      <c r="D6" s="50">
        <v>17884.626086956523</v>
      </c>
      <c r="F6" s="147" t="s">
        <v>294</v>
      </c>
      <c r="G6" s="148"/>
      <c r="H6" s="149"/>
      <c r="I6" s="50">
        <v>18981.895652173916</v>
      </c>
      <c r="K6" s="147" t="s">
        <v>294</v>
      </c>
      <c r="L6" s="148"/>
      <c r="M6" s="149"/>
      <c r="N6" s="50">
        <v>16481.573913043478</v>
      </c>
      <c r="P6" s="147" t="s">
        <v>294</v>
      </c>
      <c r="Q6" s="148"/>
      <c r="R6" s="149"/>
      <c r="S6" s="50">
        <v>17033.034782608695</v>
      </c>
      <c r="T6" s="63"/>
      <c r="U6" s="147" t="s">
        <v>294</v>
      </c>
      <c r="V6" s="148"/>
      <c r="W6" s="149"/>
      <c r="X6" s="50">
        <f>I6+D6+S6+N6</f>
        <v>70381.130434782608</v>
      </c>
    </row>
    <row r="7" spans="1:24" ht="21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50">
        <v>0</v>
      </c>
      <c r="T7" s="63"/>
      <c r="U7" s="147" t="s">
        <v>295</v>
      </c>
      <c r="V7" s="148"/>
      <c r="W7" s="149"/>
      <c r="X7" s="50">
        <f t="shared" ref="X7:X23" si="0">I7+D7+S7+N7</f>
        <v>0</v>
      </c>
    </row>
    <row r="8" spans="1:24" ht="21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>
        <v>0</v>
      </c>
      <c r="T8" s="63"/>
      <c r="U8" s="147" t="s">
        <v>296</v>
      </c>
      <c r="V8" s="148"/>
      <c r="W8" s="149"/>
      <c r="X8" s="50">
        <f t="shared" si="0"/>
        <v>0</v>
      </c>
    </row>
    <row r="9" spans="1:24" ht="21" thickBot="1">
      <c r="A9" s="150" t="s">
        <v>9</v>
      </c>
      <c r="B9" s="151"/>
      <c r="C9" s="152"/>
      <c r="D9" s="51">
        <f>SUM(D6:D8)</f>
        <v>17884.626086956523</v>
      </c>
      <c r="F9" s="150" t="s">
        <v>9</v>
      </c>
      <c r="G9" s="151"/>
      <c r="H9" s="152"/>
      <c r="I9" s="51">
        <f>SUM(I6:I8)</f>
        <v>18981.895652173916</v>
      </c>
      <c r="K9" s="150" t="s">
        <v>9</v>
      </c>
      <c r="L9" s="151"/>
      <c r="M9" s="152"/>
      <c r="N9" s="51">
        <f>SUM(N6:N8)</f>
        <v>16481.573913043478</v>
      </c>
      <c r="P9" s="150" t="s">
        <v>9</v>
      </c>
      <c r="Q9" s="151"/>
      <c r="R9" s="152"/>
      <c r="S9" s="51">
        <f>SUM(S6:S8)</f>
        <v>17033.034782608695</v>
      </c>
      <c r="T9" s="63"/>
      <c r="U9" s="150" t="s">
        <v>9</v>
      </c>
      <c r="V9" s="151"/>
      <c r="W9" s="152"/>
      <c r="X9" s="51">
        <f>I9+D9+S9+N9</f>
        <v>70381.130434782608</v>
      </c>
    </row>
    <row r="10" spans="1:24" ht="21" thickBot="1">
      <c r="A10" s="147" t="s">
        <v>39</v>
      </c>
      <c r="B10" s="148"/>
      <c r="C10" s="149"/>
      <c r="D10" s="50">
        <v>201.39</v>
      </c>
      <c r="F10" s="147" t="s">
        <v>39</v>
      </c>
      <c r="G10" s="148"/>
      <c r="H10" s="149"/>
      <c r="I10" s="50">
        <v>856.82999999999993</v>
      </c>
      <c r="K10" s="147" t="s">
        <v>39</v>
      </c>
      <c r="L10" s="148"/>
      <c r="M10" s="149"/>
      <c r="N10" s="50">
        <v>46</v>
      </c>
      <c r="P10" s="147" t="s">
        <v>39</v>
      </c>
      <c r="Q10" s="148"/>
      <c r="R10" s="149"/>
      <c r="S10" s="50">
        <v>46</v>
      </c>
      <c r="T10" s="63"/>
      <c r="U10" s="147" t="s">
        <v>39</v>
      </c>
      <c r="V10" s="148"/>
      <c r="W10" s="149"/>
      <c r="X10" s="50">
        <f t="shared" si="0"/>
        <v>1150.2199999999998</v>
      </c>
    </row>
    <row r="11" spans="1:24" ht="21" thickBot="1">
      <c r="A11" s="147" t="s">
        <v>40</v>
      </c>
      <c r="B11" s="148"/>
      <c r="C11" s="149"/>
      <c r="D11" s="50">
        <v>133</v>
      </c>
      <c r="F11" s="147" t="s">
        <v>40</v>
      </c>
      <c r="G11" s="148"/>
      <c r="H11" s="149"/>
      <c r="I11" s="50">
        <v>100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50">
        <v>0</v>
      </c>
      <c r="T11" s="63"/>
      <c r="U11" s="147" t="s">
        <v>40</v>
      </c>
      <c r="V11" s="148"/>
      <c r="W11" s="149"/>
      <c r="X11" s="50">
        <f t="shared" si="0"/>
        <v>233</v>
      </c>
    </row>
    <row r="12" spans="1:24" ht="21" thickBot="1">
      <c r="A12" s="147" t="s">
        <v>41</v>
      </c>
      <c r="B12" s="148"/>
      <c r="C12" s="149"/>
      <c r="D12" s="50">
        <v>0</v>
      </c>
      <c r="F12" s="147" t="s">
        <v>41</v>
      </c>
      <c r="G12" s="148"/>
      <c r="H12" s="149"/>
      <c r="I12" s="50">
        <v>47.210001824999999</v>
      </c>
      <c r="K12" s="147" t="s">
        <v>41</v>
      </c>
      <c r="L12" s="148"/>
      <c r="M12" s="149"/>
      <c r="N12" s="50">
        <v>119.57000000000002</v>
      </c>
      <c r="P12" s="147" t="s">
        <v>41</v>
      </c>
      <c r="Q12" s="148"/>
      <c r="R12" s="149"/>
      <c r="S12" s="50">
        <v>59.542000000000002</v>
      </c>
      <c r="T12" s="63"/>
      <c r="U12" s="147" t="s">
        <v>41</v>
      </c>
      <c r="V12" s="148"/>
      <c r="W12" s="149"/>
      <c r="X12" s="50">
        <f t="shared" si="0"/>
        <v>226.32200182500003</v>
      </c>
    </row>
    <row r="13" spans="1:24" ht="21" thickBot="1">
      <c r="A13" s="147" t="s">
        <v>297</v>
      </c>
      <c r="B13" s="148"/>
      <c r="C13" s="149"/>
      <c r="D13" s="50">
        <v>874.13</v>
      </c>
      <c r="F13" s="147" t="s">
        <v>297</v>
      </c>
      <c r="G13" s="148"/>
      <c r="H13" s="149"/>
      <c r="I13" s="50">
        <v>2616.8199999999997</v>
      </c>
      <c r="K13" s="147" t="s">
        <v>297</v>
      </c>
      <c r="L13" s="148"/>
      <c r="M13" s="149"/>
      <c r="N13" s="50">
        <v>25</v>
      </c>
      <c r="P13" s="147" t="s">
        <v>297</v>
      </c>
      <c r="Q13" s="148"/>
      <c r="R13" s="149"/>
      <c r="S13" s="50">
        <v>30</v>
      </c>
      <c r="T13" s="63"/>
      <c r="U13" s="147" t="s">
        <v>297</v>
      </c>
      <c r="V13" s="148"/>
      <c r="W13" s="149"/>
      <c r="X13" s="50">
        <f t="shared" si="0"/>
        <v>3545.95</v>
      </c>
    </row>
    <row r="14" spans="1:24" ht="21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v>875.91</v>
      </c>
      <c r="P14" s="147" t="s">
        <v>43</v>
      </c>
      <c r="Q14" s="148"/>
      <c r="R14" s="149"/>
      <c r="S14" s="50">
        <v>875.91</v>
      </c>
      <c r="T14" s="63"/>
      <c r="U14" s="147" t="s">
        <v>43</v>
      </c>
      <c r="V14" s="148"/>
      <c r="W14" s="149"/>
      <c r="X14" s="50">
        <f t="shared" si="0"/>
        <v>3503.64</v>
      </c>
    </row>
    <row r="15" spans="1:24" ht="21" thickBot="1">
      <c r="A15" s="147" t="s">
        <v>44</v>
      </c>
      <c r="B15" s="148"/>
      <c r="C15" s="149"/>
      <c r="D15" s="50">
        <v>791.08</v>
      </c>
      <c r="F15" s="147" t="s">
        <v>44</v>
      </c>
      <c r="G15" s="148"/>
      <c r="H15" s="149"/>
      <c r="I15" s="50">
        <v>830.0100000000001</v>
      </c>
      <c r="K15" s="147" t="s">
        <v>44</v>
      </c>
      <c r="L15" s="148"/>
      <c r="M15" s="149"/>
      <c r="N15" s="50">
        <v>375</v>
      </c>
      <c r="P15" s="147" t="s">
        <v>44</v>
      </c>
      <c r="Q15" s="148"/>
      <c r="R15" s="149"/>
      <c r="S15" s="50">
        <v>750</v>
      </c>
      <c r="T15" s="63"/>
      <c r="U15" s="147" t="s">
        <v>44</v>
      </c>
      <c r="V15" s="148"/>
      <c r="W15" s="149"/>
      <c r="X15" s="50">
        <f t="shared" si="0"/>
        <v>2746.09</v>
      </c>
    </row>
    <row r="16" spans="1:24" ht="21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300</v>
      </c>
      <c r="K16" s="147" t="s">
        <v>298</v>
      </c>
      <c r="L16" s="148"/>
      <c r="M16" s="149"/>
      <c r="N16" s="50">
        <v>0</v>
      </c>
      <c r="P16" s="147" t="s">
        <v>298</v>
      </c>
      <c r="Q16" s="148"/>
      <c r="R16" s="149"/>
      <c r="S16" s="50">
        <v>0</v>
      </c>
      <c r="T16" s="63"/>
      <c r="U16" s="147" t="s">
        <v>298</v>
      </c>
      <c r="V16" s="148"/>
      <c r="W16" s="149"/>
      <c r="X16" s="50">
        <f t="shared" si="0"/>
        <v>600</v>
      </c>
    </row>
    <row r="17" spans="1:24" ht="21" thickBot="1">
      <c r="A17" s="153" t="s">
        <v>48</v>
      </c>
      <c r="B17" s="154"/>
      <c r="C17" s="155"/>
      <c r="D17" s="52">
        <f>SUM(D10:D16)</f>
        <v>3175.5099999999998</v>
      </c>
      <c r="F17" s="153" t="s">
        <v>48</v>
      </c>
      <c r="G17" s="154"/>
      <c r="H17" s="155"/>
      <c r="I17" s="52">
        <f>SUM(I10:I16)</f>
        <v>5626.780001825</v>
      </c>
      <c r="K17" s="153" t="s">
        <v>48</v>
      </c>
      <c r="L17" s="154"/>
      <c r="M17" s="155"/>
      <c r="N17" s="52">
        <f>SUM(N10:N16)</f>
        <v>1441.48</v>
      </c>
      <c r="P17" s="153" t="s">
        <v>48</v>
      </c>
      <c r="Q17" s="154"/>
      <c r="R17" s="155"/>
      <c r="S17" s="52">
        <f>SUM(S10:S16)</f>
        <v>1761.452</v>
      </c>
      <c r="T17" s="63"/>
      <c r="U17" s="153" t="s">
        <v>48</v>
      </c>
      <c r="V17" s="154"/>
      <c r="W17" s="155"/>
      <c r="X17" s="52">
        <f>I17+D17+S17+N17</f>
        <v>12005.222001824999</v>
      </c>
    </row>
    <row r="18" spans="1:24" ht="21" thickBot="1">
      <c r="A18" s="156" t="s">
        <v>10</v>
      </c>
      <c r="B18" s="157"/>
      <c r="C18" s="158"/>
      <c r="D18" s="53">
        <f>D9-D17</f>
        <v>14709.116086956523</v>
      </c>
      <c r="F18" s="156" t="s">
        <v>10</v>
      </c>
      <c r="G18" s="157"/>
      <c r="H18" s="158"/>
      <c r="I18" s="53">
        <f>I9-I17</f>
        <v>13355.115650348916</v>
      </c>
      <c r="K18" s="156" t="s">
        <v>10</v>
      </c>
      <c r="L18" s="157"/>
      <c r="M18" s="158"/>
      <c r="N18" s="53">
        <f>N9-N17</f>
        <v>15040.093913043478</v>
      </c>
      <c r="P18" s="156" t="s">
        <v>10</v>
      </c>
      <c r="Q18" s="157"/>
      <c r="R18" s="158"/>
      <c r="S18" s="53">
        <f>S9-S17</f>
        <v>15271.582782608695</v>
      </c>
      <c r="T18" s="63"/>
      <c r="U18" s="156" t="s">
        <v>10</v>
      </c>
      <c r="V18" s="157"/>
      <c r="W18" s="158"/>
      <c r="X18" s="53">
        <f>I18+D18+S18+N18</f>
        <v>58375.908432957614</v>
      </c>
    </row>
    <row r="19" spans="1:24" ht="21" thickBot="1">
      <c r="A19" s="147" t="s">
        <v>20</v>
      </c>
      <c r="B19" s="148"/>
      <c r="C19" s="149"/>
      <c r="D19" s="50">
        <f>D18*0.3</f>
        <v>4412.7348260869567</v>
      </c>
      <c r="F19" s="147" t="s">
        <v>20</v>
      </c>
      <c r="G19" s="148"/>
      <c r="H19" s="149"/>
      <c r="I19" s="50">
        <f>I18*0.3</f>
        <v>4006.5346951046749</v>
      </c>
      <c r="K19" s="147" t="s">
        <v>20</v>
      </c>
      <c r="L19" s="148"/>
      <c r="M19" s="149"/>
      <c r="N19" s="50">
        <f>N18*0.3</f>
        <v>4512.0281739130432</v>
      </c>
      <c r="P19" s="147" t="s">
        <v>20</v>
      </c>
      <c r="Q19" s="148"/>
      <c r="R19" s="149"/>
      <c r="S19" s="50">
        <f>S18*0.3</f>
        <v>4581.474834782608</v>
      </c>
      <c r="T19" s="63"/>
      <c r="U19" s="147" t="s">
        <v>20</v>
      </c>
      <c r="V19" s="148"/>
      <c r="W19" s="149"/>
      <c r="X19" s="50">
        <f t="shared" si="0"/>
        <v>17512.772529887283</v>
      </c>
    </row>
    <row r="20" spans="1:24" ht="21" thickBot="1">
      <c r="A20" s="159" t="s">
        <v>21</v>
      </c>
      <c r="B20" s="160"/>
      <c r="C20" s="161"/>
      <c r="D20" s="54">
        <f>D18-D19</f>
        <v>10296.381260869566</v>
      </c>
      <c r="F20" s="159" t="s">
        <v>21</v>
      </c>
      <c r="G20" s="160"/>
      <c r="H20" s="161"/>
      <c r="I20" s="54">
        <f>I18-I19</f>
        <v>9348.5809552442406</v>
      </c>
      <c r="K20" s="159" t="s">
        <v>21</v>
      </c>
      <c r="L20" s="160"/>
      <c r="M20" s="161"/>
      <c r="N20" s="54">
        <f>N18-N19</f>
        <v>10528.065739130434</v>
      </c>
      <c r="P20" s="159" t="s">
        <v>21</v>
      </c>
      <c r="Q20" s="160"/>
      <c r="R20" s="161"/>
      <c r="S20" s="54">
        <f>S18-S19</f>
        <v>10690.107947826087</v>
      </c>
      <c r="T20" s="63"/>
      <c r="U20" s="159" t="s">
        <v>21</v>
      </c>
      <c r="V20" s="160"/>
      <c r="W20" s="161"/>
      <c r="X20" s="54">
        <f t="shared" si="0"/>
        <v>40863.135903070332</v>
      </c>
    </row>
    <row r="21" spans="1:24" ht="21" thickBot="1">
      <c r="A21" s="147" t="s">
        <v>11</v>
      </c>
      <c r="B21" s="148"/>
      <c r="C21" s="149"/>
      <c r="D21" s="50">
        <v>0</v>
      </c>
      <c r="F21" s="147" t="s">
        <v>11</v>
      </c>
      <c r="G21" s="148"/>
      <c r="H21" s="149"/>
      <c r="I21" s="50">
        <v>0</v>
      </c>
      <c r="K21" s="147" t="s">
        <v>11</v>
      </c>
      <c r="L21" s="148"/>
      <c r="M21" s="149"/>
      <c r="N21" s="50">
        <v>0</v>
      </c>
      <c r="P21" s="147" t="s">
        <v>11</v>
      </c>
      <c r="Q21" s="148"/>
      <c r="R21" s="149"/>
      <c r="S21" s="50">
        <v>0</v>
      </c>
      <c r="T21" s="63"/>
      <c r="U21" s="147" t="s">
        <v>11</v>
      </c>
      <c r="V21" s="148"/>
      <c r="W21" s="149"/>
      <c r="X21" s="50">
        <f t="shared" si="0"/>
        <v>0</v>
      </c>
    </row>
    <row r="22" spans="1:24" ht="21" thickBot="1">
      <c r="A22" s="150" t="s">
        <v>12</v>
      </c>
      <c r="B22" s="151"/>
      <c r="C22" s="152"/>
      <c r="D22" s="51">
        <f>D20-D21</f>
        <v>10296.381260869566</v>
      </c>
      <c r="F22" s="150" t="s">
        <v>12</v>
      </c>
      <c r="G22" s="151"/>
      <c r="H22" s="152"/>
      <c r="I22" s="51">
        <f>I20-I21</f>
        <v>9348.5809552442406</v>
      </c>
      <c r="K22" s="150" t="s">
        <v>12</v>
      </c>
      <c r="L22" s="151"/>
      <c r="M22" s="152"/>
      <c r="N22" s="51">
        <f>N20-N21</f>
        <v>10528.065739130434</v>
      </c>
      <c r="P22" s="150" t="s">
        <v>12</v>
      </c>
      <c r="Q22" s="151"/>
      <c r="R22" s="152"/>
      <c r="S22" s="51">
        <f>S20-S21</f>
        <v>10690.107947826087</v>
      </c>
      <c r="T22" s="63"/>
      <c r="U22" s="150" t="s">
        <v>12</v>
      </c>
      <c r="V22" s="151"/>
      <c r="W22" s="152"/>
      <c r="X22" s="51">
        <f>I22+D22+S22+N22</f>
        <v>40863.135903070332</v>
      </c>
    </row>
    <row r="23" spans="1:24" ht="21" thickBot="1">
      <c r="A23" s="150" t="s">
        <v>299</v>
      </c>
      <c r="B23" s="151" t="s">
        <v>299</v>
      </c>
      <c r="C23" s="152"/>
      <c r="D23" s="51">
        <v>0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v>0</v>
      </c>
      <c r="P23" s="150" t="s">
        <v>299</v>
      </c>
      <c r="Q23" s="151" t="s">
        <v>299</v>
      </c>
      <c r="R23" s="152"/>
      <c r="S23" s="51">
        <v>0</v>
      </c>
      <c r="T23" s="63"/>
      <c r="U23" s="150" t="s">
        <v>299</v>
      </c>
      <c r="V23" s="151" t="s">
        <v>299</v>
      </c>
      <c r="W23" s="152"/>
      <c r="X23" s="51">
        <f t="shared" si="0"/>
        <v>0</v>
      </c>
    </row>
    <row r="24" spans="1:24" ht="21" thickBot="1">
      <c r="A24" s="150" t="s">
        <v>300</v>
      </c>
      <c r="B24" s="151" t="s">
        <v>300</v>
      </c>
      <c r="C24" s="152"/>
      <c r="D24" s="51">
        <f>D22+D23</f>
        <v>10296.381260869566</v>
      </c>
      <c r="F24" s="150" t="s">
        <v>300</v>
      </c>
      <c r="G24" s="151" t="s">
        <v>300</v>
      </c>
      <c r="H24" s="152"/>
      <c r="I24" s="51">
        <f>I22+I23</f>
        <v>9348.5809552442406</v>
      </c>
      <c r="K24" s="150" t="s">
        <v>300</v>
      </c>
      <c r="L24" s="151" t="s">
        <v>300</v>
      </c>
      <c r="M24" s="152"/>
      <c r="N24" s="51">
        <f>N22+N23</f>
        <v>10528.065739130434</v>
      </c>
      <c r="P24" s="150" t="s">
        <v>300</v>
      </c>
      <c r="Q24" s="151" t="s">
        <v>300</v>
      </c>
      <c r="R24" s="152"/>
      <c r="S24" s="51">
        <f>S22+S23</f>
        <v>10690.107947826087</v>
      </c>
      <c r="T24" s="63"/>
      <c r="U24" s="150" t="s">
        <v>300</v>
      </c>
      <c r="V24" s="151" t="s">
        <v>300</v>
      </c>
      <c r="W24" s="152"/>
      <c r="X24" s="51">
        <f>I24+D24+S24+N24</f>
        <v>40863.135903070332</v>
      </c>
    </row>
    <row r="25" spans="1:24" ht="21" thickBot="1">
      <c r="A25" s="12" t="s">
        <v>24</v>
      </c>
      <c r="B25" s="12"/>
      <c r="C25" s="12"/>
      <c r="D25" s="57"/>
      <c r="F25" s="12" t="s">
        <v>24</v>
      </c>
      <c r="G25" s="12"/>
      <c r="H25" s="12"/>
      <c r="I25" s="57"/>
      <c r="T25" s="64"/>
    </row>
    <row r="26" spans="1:24" ht="21" thickBot="1">
      <c r="A26" s="12" t="s">
        <v>13</v>
      </c>
      <c r="B26" s="12" t="s">
        <v>14</v>
      </c>
      <c r="C26" s="12" t="s">
        <v>25</v>
      </c>
      <c r="D26" s="12" t="s">
        <v>7</v>
      </c>
      <c r="F26" s="12" t="s">
        <v>13</v>
      </c>
      <c r="G26" s="12" t="s">
        <v>29</v>
      </c>
      <c r="H26" s="12" t="s">
        <v>63</v>
      </c>
      <c r="I26" s="12" t="s">
        <v>7</v>
      </c>
      <c r="T26" s="64"/>
    </row>
    <row r="27" spans="1:24" ht="21" thickBot="1">
      <c r="A27" s="12" t="s">
        <v>59</v>
      </c>
      <c r="B27" s="12">
        <v>2022</v>
      </c>
      <c r="C27" s="12" t="s">
        <v>34</v>
      </c>
      <c r="D27" s="80">
        <v>1200</v>
      </c>
      <c r="F27" s="12" t="s">
        <v>64</v>
      </c>
      <c r="G27" s="12">
        <v>2022</v>
      </c>
      <c r="H27" s="12" t="s">
        <v>65</v>
      </c>
      <c r="I27" s="99">
        <v>436.9</v>
      </c>
      <c r="T27" s="64"/>
    </row>
    <row r="28" spans="1:24" ht="21" thickBot="1">
      <c r="A28" s="12" t="s">
        <v>60</v>
      </c>
      <c r="B28" s="12">
        <v>45177</v>
      </c>
      <c r="C28" s="40">
        <v>401014501608164</v>
      </c>
      <c r="D28" s="80">
        <v>3022</v>
      </c>
    </row>
    <row r="29" spans="1:24" ht="21" thickBot="1">
      <c r="A29" s="12" t="s">
        <v>61</v>
      </c>
      <c r="B29" s="12">
        <v>45222</v>
      </c>
      <c r="C29" s="40">
        <v>401014501696737</v>
      </c>
      <c r="D29" s="81">
        <v>1415.36</v>
      </c>
    </row>
    <row r="30" spans="1:24">
      <c r="A30" s="12" t="s">
        <v>55</v>
      </c>
      <c r="B30" s="12"/>
      <c r="C30" s="40"/>
      <c r="D30" s="81">
        <f>D27+D28+D29</f>
        <v>5637.36</v>
      </c>
    </row>
    <row r="33" spans="3:3">
      <c r="C33">
        <f>B33+B40</f>
        <v>0</v>
      </c>
    </row>
  </sheetData>
  <mergeCells count="125">
    <mergeCell ref="A23:C23"/>
    <mergeCell ref="F23:H23"/>
    <mergeCell ref="K23:M23"/>
    <mergeCell ref="A24:C24"/>
    <mergeCell ref="F24:H24"/>
    <mergeCell ref="K24:M24"/>
    <mergeCell ref="P23:R23"/>
    <mergeCell ref="P24:R24"/>
    <mergeCell ref="U23:W23"/>
    <mergeCell ref="U24:W24"/>
    <mergeCell ref="U22:W22"/>
    <mergeCell ref="U16:W16"/>
    <mergeCell ref="U17:W17"/>
    <mergeCell ref="U18:W18"/>
    <mergeCell ref="U19:W19"/>
    <mergeCell ref="U20:W20"/>
    <mergeCell ref="U21:W21"/>
    <mergeCell ref="U2:V2"/>
    <mergeCell ref="W2:X2"/>
    <mergeCell ref="U3:V3"/>
    <mergeCell ref="W3:X3"/>
    <mergeCell ref="U8:W8"/>
    <mergeCell ref="U15:W15"/>
    <mergeCell ref="U5:W5"/>
    <mergeCell ref="U6:W6"/>
    <mergeCell ref="U7:W7"/>
    <mergeCell ref="U9:W9"/>
    <mergeCell ref="U10:W10"/>
    <mergeCell ref="U11:W11"/>
    <mergeCell ref="U12:W12"/>
    <mergeCell ref="U13:W13"/>
    <mergeCell ref="U14:W14"/>
    <mergeCell ref="P10:R10"/>
    <mergeCell ref="K5:M5"/>
    <mergeCell ref="K6:M6"/>
    <mergeCell ref="F11:H11"/>
    <mergeCell ref="F12:H12"/>
    <mergeCell ref="F8:H8"/>
    <mergeCell ref="K8:M8"/>
    <mergeCell ref="P8:R8"/>
    <mergeCell ref="F5:H5"/>
    <mergeCell ref="F6:H6"/>
    <mergeCell ref="F7:H7"/>
    <mergeCell ref="K10:M10"/>
    <mergeCell ref="K11:M11"/>
    <mergeCell ref="K12:M12"/>
    <mergeCell ref="F14:H14"/>
    <mergeCell ref="F15:H15"/>
    <mergeCell ref="F18:H18"/>
    <mergeCell ref="A1:D1"/>
    <mergeCell ref="A2:B2"/>
    <mergeCell ref="C2:D2"/>
    <mergeCell ref="A3:B3"/>
    <mergeCell ref="C3:D3"/>
    <mergeCell ref="A5:C5"/>
    <mergeCell ref="F1:I1"/>
    <mergeCell ref="F2:G2"/>
    <mergeCell ref="H2:I2"/>
    <mergeCell ref="F3:G3"/>
    <mergeCell ref="H3:I3"/>
    <mergeCell ref="F10:H10"/>
    <mergeCell ref="F16:H16"/>
    <mergeCell ref="F9:H9"/>
    <mergeCell ref="F13:H13"/>
    <mergeCell ref="A8:C8"/>
    <mergeCell ref="A19:C19"/>
    <mergeCell ref="A20:C20"/>
    <mergeCell ref="A21:C21"/>
    <mergeCell ref="A17:C17"/>
    <mergeCell ref="A18:C18"/>
    <mergeCell ref="A6:C6"/>
    <mergeCell ref="A7:C7"/>
    <mergeCell ref="A9:C9"/>
    <mergeCell ref="A10:C10"/>
    <mergeCell ref="A11:C11"/>
    <mergeCell ref="A12:C12"/>
    <mergeCell ref="U1:X1"/>
    <mergeCell ref="A22:C22"/>
    <mergeCell ref="A13:C13"/>
    <mergeCell ref="A14:C14"/>
    <mergeCell ref="A15:C15"/>
    <mergeCell ref="A16:C16"/>
    <mergeCell ref="P14:R14"/>
    <mergeCell ref="P15:R15"/>
    <mergeCell ref="P19:R19"/>
    <mergeCell ref="P20:R20"/>
    <mergeCell ref="P21:R21"/>
    <mergeCell ref="P22:R22"/>
    <mergeCell ref="K21:M21"/>
    <mergeCell ref="K22:M22"/>
    <mergeCell ref="K19:M19"/>
    <mergeCell ref="K20:M20"/>
    <mergeCell ref="F19:H19"/>
    <mergeCell ref="F20:H20"/>
    <mergeCell ref="F21:H21"/>
    <mergeCell ref="F22:H22"/>
    <mergeCell ref="F17:H17"/>
    <mergeCell ref="P2:Q2"/>
    <mergeCell ref="P3:Q3"/>
    <mergeCell ref="K1:N1"/>
    <mergeCell ref="K2:L2"/>
    <mergeCell ref="M2:N2"/>
    <mergeCell ref="K3:L3"/>
    <mergeCell ref="M3:N3"/>
    <mergeCell ref="R3:S3"/>
    <mergeCell ref="P1:S1"/>
    <mergeCell ref="R2:S2"/>
    <mergeCell ref="K7:M7"/>
    <mergeCell ref="K9:M9"/>
    <mergeCell ref="P5:R5"/>
    <mergeCell ref="P6:R6"/>
    <mergeCell ref="P7:R7"/>
    <mergeCell ref="P9:R9"/>
    <mergeCell ref="P16:R16"/>
    <mergeCell ref="P17:R17"/>
    <mergeCell ref="P18:R18"/>
    <mergeCell ref="P11:R11"/>
    <mergeCell ref="P12:R12"/>
    <mergeCell ref="P13:R13"/>
    <mergeCell ref="K16:M16"/>
    <mergeCell ref="K17:M17"/>
    <mergeCell ref="K18:M18"/>
    <mergeCell ref="K13:M13"/>
    <mergeCell ref="K14:M14"/>
    <mergeCell ref="K15:M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1E02-E898-4849-9B2C-6830E66D49AC}">
  <sheetPr>
    <tabColor rgb="FFFF0000"/>
  </sheetPr>
  <dimension ref="A1:D27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187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165</v>
      </c>
      <c r="D2" s="137"/>
    </row>
    <row r="3" spans="1:4" ht="21" thickBot="1">
      <c r="A3" s="136" t="s">
        <v>2</v>
      </c>
      <c r="B3" s="136"/>
      <c r="C3" s="142" t="s">
        <v>188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19061.043478260872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19061.043478260872</v>
      </c>
    </row>
    <row r="10" spans="1:4" ht="17.25" thickBot="1">
      <c r="A10" s="147" t="s">
        <v>39</v>
      </c>
      <c r="B10" s="148"/>
      <c r="C10" s="149"/>
      <c r="D10" s="50">
        <v>258.78999999999996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302</v>
      </c>
      <c r="B12" s="148"/>
      <c r="C12" s="149"/>
      <c r="D12" s="50">
        <v>96.085180680000008</v>
      </c>
    </row>
    <row r="13" spans="1:4" ht="17.25" thickBot="1">
      <c r="A13" s="147" t="s">
        <v>297</v>
      </c>
      <c r="B13" s="148"/>
      <c r="C13" s="149"/>
      <c r="D13" s="50">
        <v>1453.482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403.04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3087.3071806799999</v>
      </c>
    </row>
    <row r="18" spans="1:4" ht="17.25" thickBot="1">
      <c r="A18" s="156" t="s">
        <v>10</v>
      </c>
      <c r="B18" s="157"/>
      <c r="C18" s="158"/>
      <c r="D18" s="53">
        <f>D9-D17</f>
        <v>15973.736297580872</v>
      </c>
    </row>
    <row r="19" spans="1:4" ht="17.25" thickBot="1">
      <c r="A19" s="147" t="s">
        <v>20</v>
      </c>
      <c r="B19" s="148"/>
      <c r="C19" s="149"/>
      <c r="D19" s="50">
        <f>D18*0.3</f>
        <v>4792.1208892742616</v>
      </c>
    </row>
    <row r="20" spans="1:4" ht="17.25" thickBot="1">
      <c r="A20" s="159" t="s">
        <v>21</v>
      </c>
      <c r="B20" s="160"/>
      <c r="C20" s="161"/>
      <c r="D20" s="54">
        <f>D18-D19</f>
        <v>11181.61540830661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11181.61540830661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D22+D23</f>
        <v>11181.61540830661</v>
      </c>
    </row>
    <row r="25" spans="1:4" ht="16.5">
      <c r="A25" s="12" t="s">
        <v>24</v>
      </c>
      <c r="B25" s="4"/>
      <c r="C25" s="4"/>
      <c r="D25" s="5"/>
    </row>
    <row r="26" spans="1:4">
      <c r="A26" s="15" t="s">
        <v>13</v>
      </c>
      <c r="B26" s="15" t="s">
        <v>14</v>
      </c>
      <c r="C26" s="15" t="s">
        <v>15</v>
      </c>
      <c r="D26" s="16" t="s">
        <v>16</v>
      </c>
    </row>
    <row r="27" spans="1:4" ht="24">
      <c r="A27" s="24" t="s">
        <v>280</v>
      </c>
      <c r="B27" s="25">
        <v>45668</v>
      </c>
      <c r="C27" s="26">
        <v>401014602774421</v>
      </c>
      <c r="D27" s="84">
        <v>4976.66</v>
      </c>
    </row>
  </sheetData>
  <mergeCells count="25">
    <mergeCell ref="A24:C24"/>
    <mergeCell ref="A23:C23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F337-B529-4A0E-96FB-84501D3BF2BF}">
  <sheetPr>
    <tabColor rgb="FFFF0000"/>
  </sheetPr>
  <dimension ref="A1:D24"/>
  <sheetViews>
    <sheetView rightToLeft="1" workbookViewId="0">
      <selection activeCell="D23" sqref="D23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164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165</v>
      </c>
      <c r="D2" s="137"/>
    </row>
    <row r="3" spans="1:4" ht="21" thickBot="1">
      <c r="A3" s="136" t="s">
        <v>2</v>
      </c>
      <c r="B3" s="136"/>
      <c r="C3" s="142" t="s">
        <v>166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22717.391304347828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22717.391304347828</v>
      </c>
    </row>
    <row r="10" spans="1:4" ht="17.25" thickBot="1">
      <c r="A10" s="147" t="s">
        <v>39</v>
      </c>
      <c r="B10" s="148"/>
      <c r="C10" s="149"/>
      <c r="D10" s="50">
        <v>184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115.149207597</v>
      </c>
    </row>
    <row r="13" spans="1:4" ht="17.25" thickBot="1">
      <c r="A13" s="147" t="s">
        <v>297</v>
      </c>
      <c r="B13" s="148"/>
      <c r="C13" s="149"/>
      <c r="D13" s="50">
        <v>0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526.31999999999994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1701.3832075969999</v>
      </c>
    </row>
    <row r="18" spans="1:4" ht="17.25" thickBot="1">
      <c r="A18" s="156" t="s">
        <v>10</v>
      </c>
      <c r="B18" s="157"/>
      <c r="C18" s="158"/>
      <c r="D18" s="53">
        <f>D9-D17</f>
        <v>21016.008096750829</v>
      </c>
    </row>
    <row r="19" spans="1:4" ht="17.25" thickBot="1">
      <c r="A19" s="147" t="s">
        <v>20</v>
      </c>
      <c r="B19" s="148"/>
      <c r="C19" s="149"/>
      <c r="D19" s="50">
        <f>D18*0.3</f>
        <v>6304.8024290252488</v>
      </c>
    </row>
    <row r="20" spans="1:4" ht="17.25" thickBot="1">
      <c r="A20" s="159" t="s">
        <v>21</v>
      </c>
      <c r="B20" s="160"/>
      <c r="C20" s="161"/>
      <c r="D20" s="54">
        <f>D18-D19</f>
        <v>14711.20566772558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14711.20566772558</v>
      </c>
    </row>
    <row r="23" spans="1:4" ht="17.25" thickBot="1">
      <c r="A23" s="150" t="s">
        <v>310</v>
      </c>
      <c r="B23" s="151" t="s">
        <v>299</v>
      </c>
      <c r="C23" s="152"/>
      <c r="D23" s="105">
        <f>9551+1600</f>
        <v>11151</v>
      </c>
    </row>
    <row r="24" spans="1:4" ht="17.25" thickBot="1">
      <c r="A24" s="150" t="s">
        <v>300</v>
      </c>
      <c r="B24" s="151" t="s">
        <v>300</v>
      </c>
      <c r="C24" s="152"/>
      <c r="D24" s="51">
        <f>D22+D23</f>
        <v>25862.205667725582</v>
      </c>
    </row>
  </sheetData>
  <mergeCells count="25">
    <mergeCell ref="A23:C23"/>
    <mergeCell ref="A24:C24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0DFC-7029-44CD-9757-73CCEA034F7A}">
  <sheetPr>
    <tabColor rgb="FF66FFFF"/>
  </sheetPr>
  <dimension ref="A1:D32"/>
  <sheetViews>
    <sheetView rightToLeft="1" topLeftCell="A22" workbookViewId="0">
      <selection activeCell="B32" sqref="B32"/>
    </sheetView>
  </sheetViews>
  <sheetFormatPr defaultColWidth="8.875" defaultRowHeight="14.25"/>
  <cols>
    <col min="1" max="1" width="31.125" customWidth="1"/>
    <col min="2" max="2" width="22.5" customWidth="1"/>
    <col min="3" max="3" width="21.125" bestFit="1" customWidth="1"/>
    <col min="4" max="4" width="13.375" customWidth="1"/>
  </cols>
  <sheetData>
    <row r="1" spans="1:4" ht="18" thickBot="1">
      <c r="A1" s="135" t="s">
        <v>56</v>
      </c>
      <c r="B1" s="135"/>
      <c r="C1" s="135"/>
      <c r="D1" s="135"/>
    </row>
    <row r="2" spans="1:4" ht="18" thickBot="1">
      <c r="A2" s="136" t="s">
        <v>1</v>
      </c>
      <c r="B2" s="136"/>
      <c r="C2" s="173" t="s">
        <v>18</v>
      </c>
      <c r="D2" s="174"/>
    </row>
    <row r="3" spans="1:4" ht="21" thickBot="1">
      <c r="A3" s="136" t="s">
        <v>2</v>
      </c>
      <c r="B3" s="136"/>
      <c r="C3" s="142" t="s">
        <v>49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8" t="s">
        <v>7</v>
      </c>
    </row>
    <row r="6" spans="1:4" ht="17.25" thickBot="1">
      <c r="A6" s="147" t="s">
        <v>294</v>
      </c>
      <c r="B6" s="148"/>
      <c r="C6" s="149"/>
      <c r="D6" s="9">
        <v>0</v>
      </c>
    </row>
    <row r="7" spans="1:4" ht="17.25" thickBot="1">
      <c r="A7" s="147" t="s">
        <v>295</v>
      </c>
      <c r="B7" s="148"/>
      <c r="C7" s="149"/>
      <c r="D7" s="9">
        <v>35343</v>
      </c>
    </row>
    <row r="8" spans="1:4" ht="17.25" thickBot="1">
      <c r="A8" s="147" t="s">
        <v>296</v>
      </c>
      <c r="B8" s="148"/>
      <c r="C8" s="149"/>
      <c r="D8" s="9">
        <v>0</v>
      </c>
    </row>
    <row r="9" spans="1:4" ht="17.25" thickBot="1">
      <c r="A9" s="150" t="s">
        <v>9</v>
      </c>
      <c r="B9" s="151"/>
      <c r="C9" s="152"/>
      <c r="D9" s="35">
        <f>SUM(D6:D8)</f>
        <v>35343</v>
      </c>
    </row>
    <row r="10" spans="1:4" ht="17.25" thickBot="1">
      <c r="A10" s="147" t="s">
        <v>39</v>
      </c>
      <c r="B10" s="148"/>
      <c r="C10" s="149"/>
      <c r="D10" s="9"/>
    </row>
    <row r="11" spans="1:4" ht="17.25" thickBot="1">
      <c r="A11" s="147" t="s">
        <v>40</v>
      </c>
      <c r="B11" s="148"/>
      <c r="C11" s="149"/>
      <c r="D11" s="9"/>
    </row>
    <row r="12" spans="1:4" ht="17.25" thickBot="1">
      <c r="A12" s="147" t="s">
        <v>41</v>
      </c>
      <c r="B12" s="148"/>
      <c r="C12" s="149"/>
      <c r="D12" s="9"/>
    </row>
    <row r="13" spans="1:4" ht="17.25" thickBot="1">
      <c r="A13" s="147" t="s">
        <v>297</v>
      </c>
      <c r="B13" s="148"/>
      <c r="C13" s="149"/>
      <c r="D13" s="9"/>
    </row>
    <row r="14" spans="1:4" ht="17.25" thickBot="1">
      <c r="A14" s="147" t="s">
        <v>43</v>
      </c>
      <c r="B14" s="148"/>
      <c r="C14" s="149"/>
      <c r="D14" s="9"/>
    </row>
    <row r="15" spans="1:4" ht="17.25" thickBot="1">
      <c r="A15" s="147" t="s">
        <v>44</v>
      </c>
      <c r="B15" s="148"/>
      <c r="C15" s="149"/>
      <c r="D15" s="9"/>
    </row>
    <row r="16" spans="1:4" ht="17.25" thickBot="1">
      <c r="A16" s="147" t="s">
        <v>298</v>
      </c>
      <c r="B16" s="148"/>
      <c r="C16" s="149"/>
      <c r="D16" s="9"/>
    </row>
    <row r="17" spans="1:4" ht="17.25" thickBot="1">
      <c r="A17" s="153" t="s">
        <v>48</v>
      </c>
      <c r="B17" s="154"/>
      <c r="C17" s="155"/>
      <c r="D17" s="36">
        <f>SUM(D10:D16)</f>
        <v>0</v>
      </c>
    </row>
    <row r="18" spans="1:4" ht="17.25" thickBot="1">
      <c r="A18" s="156" t="s">
        <v>10</v>
      </c>
      <c r="B18" s="157"/>
      <c r="C18" s="158"/>
      <c r="D18" s="10">
        <f>D9-D17</f>
        <v>35343</v>
      </c>
    </row>
    <row r="19" spans="1:4" ht="17.25" thickBot="1">
      <c r="A19" s="147" t="s">
        <v>20</v>
      </c>
      <c r="B19" s="148"/>
      <c r="C19" s="149"/>
      <c r="D19" s="9">
        <v>0</v>
      </c>
    </row>
    <row r="20" spans="1:4" ht="17.25" thickBot="1">
      <c r="A20" s="159" t="s">
        <v>21</v>
      </c>
      <c r="B20" s="160"/>
      <c r="C20" s="161"/>
      <c r="D20" s="11">
        <f>D18-D19</f>
        <v>35343</v>
      </c>
    </row>
    <row r="21" spans="1:4" ht="17.25" thickBot="1">
      <c r="A21" s="147" t="s">
        <v>11</v>
      </c>
      <c r="B21" s="148"/>
      <c r="C21" s="149"/>
      <c r="D21" s="9">
        <v>35343</v>
      </c>
    </row>
    <row r="22" spans="1:4" ht="17.25" thickBot="1">
      <c r="A22" s="150" t="s">
        <v>12</v>
      </c>
      <c r="B22" s="151"/>
      <c r="C22" s="152"/>
      <c r="D22" s="51">
        <f>D20-D21</f>
        <v>0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D22+D23</f>
        <v>0</v>
      </c>
    </row>
    <row r="25" spans="1:4" ht="17.25" thickBot="1">
      <c r="A25" s="12" t="s">
        <v>24</v>
      </c>
      <c r="B25" s="12"/>
      <c r="C25" s="12"/>
      <c r="D25" s="12"/>
    </row>
    <row r="26" spans="1:4" ht="17.25" thickBot="1">
      <c r="A26" s="12" t="s">
        <v>13</v>
      </c>
      <c r="B26" s="12" t="s">
        <v>29</v>
      </c>
      <c r="C26" s="12" t="s">
        <v>25</v>
      </c>
      <c r="D26" s="12" t="s">
        <v>7</v>
      </c>
    </row>
    <row r="27" spans="1:4" ht="17.25" thickBot="1">
      <c r="A27" s="12" t="s">
        <v>52</v>
      </c>
      <c r="B27" s="106" t="s">
        <v>53</v>
      </c>
      <c r="C27" s="40">
        <v>401014400876063</v>
      </c>
      <c r="D27" s="80">
        <v>1500</v>
      </c>
    </row>
    <row r="28" spans="1:4" ht="17.25" thickBot="1">
      <c r="A28" s="12" t="s">
        <v>54</v>
      </c>
      <c r="B28" s="12">
        <v>44786</v>
      </c>
      <c r="C28" s="40">
        <v>401014400885417</v>
      </c>
      <c r="D28" s="80">
        <v>3071.5</v>
      </c>
    </row>
    <row r="29" spans="1:4" ht="17.25" thickBot="1">
      <c r="A29" s="181" t="s">
        <v>55</v>
      </c>
      <c r="B29" s="181"/>
      <c r="C29" s="181"/>
      <c r="D29" s="107">
        <f>SUM(D27:D28)</f>
        <v>4571.5</v>
      </c>
    </row>
    <row r="30" spans="1:4" ht="17.25" thickBot="1">
      <c r="A30" s="12" t="s">
        <v>50</v>
      </c>
      <c r="B30" s="12"/>
    </row>
    <row r="31" spans="1:4" ht="17.25" thickBot="1">
      <c r="A31" s="12" t="s">
        <v>265</v>
      </c>
      <c r="B31" s="12"/>
    </row>
    <row r="32" spans="1:4" ht="16.5">
      <c r="A32" s="12" t="s">
        <v>51</v>
      </c>
      <c r="B32" s="12"/>
    </row>
  </sheetData>
  <mergeCells count="26">
    <mergeCell ref="A29:C29"/>
    <mergeCell ref="A12:C12"/>
    <mergeCell ref="A13:C13"/>
    <mergeCell ref="A22:C22"/>
    <mergeCell ref="A17:C17"/>
    <mergeCell ref="A18:C18"/>
    <mergeCell ref="A19:C19"/>
    <mergeCell ref="A14:C14"/>
    <mergeCell ref="A15:C15"/>
    <mergeCell ref="A20:C20"/>
    <mergeCell ref="A21:C21"/>
    <mergeCell ref="A23:C23"/>
    <mergeCell ref="A24:C24"/>
    <mergeCell ref="A16:C16"/>
    <mergeCell ref="A5:C5"/>
    <mergeCell ref="A1:D1"/>
    <mergeCell ref="A2:B2"/>
    <mergeCell ref="C2:D2"/>
    <mergeCell ref="A3:B3"/>
    <mergeCell ref="C3:D3"/>
    <mergeCell ref="A6:C6"/>
    <mergeCell ref="A7:C7"/>
    <mergeCell ref="A9:C9"/>
    <mergeCell ref="A10:C10"/>
    <mergeCell ref="A11:C11"/>
    <mergeCell ref="A8:C8"/>
  </mergeCells>
  <hyperlinks>
    <hyperlink ref="A1:D1" location="'قائمة المستثمرين'!A1" display="تقرير المستثمر : رائد الحسيني        ( 31-12-2024 )" xr:uid="{329F6462-83F0-4D50-9D23-A15802E28BB4}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9400-A14D-42CA-80F0-D42CEED9ECB7}">
  <sheetPr>
    <tabColor rgb="FF66FFFF"/>
  </sheetPr>
  <dimension ref="A1:D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66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4</v>
      </c>
      <c r="D2" s="137"/>
    </row>
    <row r="3" spans="1:4" ht="21" thickBot="1">
      <c r="A3" s="136" t="s">
        <v>2</v>
      </c>
      <c r="B3" s="136"/>
      <c r="C3" s="142" t="s">
        <v>67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19305.756521739131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19305.756521739131</v>
      </c>
    </row>
    <row r="10" spans="1:4" ht="17.25" thickBot="1">
      <c r="A10" s="147" t="s">
        <v>39</v>
      </c>
      <c r="B10" s="148"/>
      <c r="C10" s="149"/>
      <c r="D10" s="50">
        <v>184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58.090151370000001</v>
      </c>
    </row>
    <row r="13" spans="1:4" ht="17.25" thickBot="1">
      <c r="A13" s="147" t="s">
        <v>297</v>
      </c>
      <c r="B13" s="148"/>
      <c r="C13" s="149"/>
      <c r="D13" s="50">
        <v>839.13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476.95000000000005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2434.0801513699998</v>
      </c>
    </row>
    <row r="18" spans="1:4" ht="17.25" thickBot="1">
      <c r="A18" s="156" t="s">
        <v>10</v>
      </c>
      <c r="B18" s="157"/>
      <c r="C18" s="158"/>
      <c r="D18" s="53">
        <f>D9-D17</f>
        <v>16871.676370369132</v>
      </c>
    </row>
    <row r="19" spans="1:4" ht="17.25" thickBot="1">
      <c r="A19" s="147" t="s">
        <v>20</v>
      </c>
      <c r="B19" s="148"/>
      <c r="C19" s="149"/>
      <c r="D19" s="50">
        <f>D18*0.3</f>
        <v>5061.5029111107397</v>
      </c>
    </row>
    <row r="20" spans="1:4" ht="17.25" thickBot="1">
      <c r="A20" s="159" t="s">
        <v>21</v>
      </c>
      <c r="B20" s="160"/>
      <c r="C20" s="161"/>
      <c r="D20" s="54">
        <f>D18-D19</f>
        <v>11810.173459258393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11810.173459258393</v>
      </c>
    </row>
    <row r="23" spans="1:4" ht="17.25" thickBot="1">
      <c r="A23" s="150" t="s">
        <v>299</v>
      </c>
      <c r="B23" s="151" t="s">
        <v>299</v>
      </c>
      <c r="C23" s="152"/>
      <c r="D23" s="51">
        <v>10590</v>
      </c>
    </row>
    <row r="24" spans="1:4" ht="17.25" thickBot="1">
      <c r="A24" s="150" t="s">
        <v>300</v>
      </c>
      <c r="B24" s="151" t="s">
        <v>300</v>
      </c>
      <c r="C24" s="152"/>
      <c r="D24" s="51">
        <f>D22+D23</f>
        <v>22400.173459258393</v>
      </c>
    </row>
  </sheetData>
  <mergeCells count="25">
    <mergeCell ref="A23:C23"/>
    <mergeCell ref="A24:C24"/>
    <mergeCell ref="A18:C18"/>
    <mergeCell ref="A19:C19"/>
    <mergeCell ref="A20:C20"/>
    <mergeCell ref="A21:C21"/>
    <mergeCell ref="A22:C22"/>
    <mergeCell ref="A13:C13"/>
    <mergeCell ref="A14:C14"/>
    <mergeCell ref="A15:C15"/>
    <mergeCell ref="A16:C16"/>
    <mergeCell ref="A17:C17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12E7-2E93-4BA6-8C48-E2B44BFFE4F8}">
  <sheetPr>
    <tabColor rgb="FF66FFFF"/>
  </sheetPr>
  <dimension ref="A1:D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68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4</v>
      </c>
      <c r="D2" s="137"/>
    </row>
    <row r="3" spans="1:4" ht="21" thickBot="1">
      <c r="A3" s="136" t="s">
        <v>2</v>
      </c>
      <c r="B3" s="136"/>
      <c r="C3" s="142" t="s">
        <v>69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25326.521739130436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25326.521739130436</v>
      </c>
    </row>
    <row r="10" spans="1:4" ht="17.25" thickBot="1">
      <c r="A10" s="147" t="s">
        <v>39</v>
      </c>
      <c r="B10" s="148"/>
      <c r="C10" s="149"/>
      <c r="D10" s="50">
        <v>279.64999999999998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76.43000069</v>
      </c>
    </row>
    <row r="13" spans="1:4" ht="17.25" thickBot="1">
      <c r="A13" s="147" t="s">
        <v>297</v>
      </c>
      <c r="B13" s="148"/>
      <c r="C13" s="149"/>
      <c r="D13" s="50">
        <v>1442.1100000000001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671.09</v>
      </c>
    </row>
    <row r="16" spans="1:4" ht="17.25" thickBot="1">
      <c r="A16" s="147" t="s">
        <v>298</v>
      </c>
      <c r="B16" s="148"/>
      <c r="C16" s="149"/>
      <c r="D16" s="50">
        <v>225</v>
      </c>
    </row>
    <row r="17" spans="1:4" ht="17.25" thickBot="1">
      <c r="A17" s="153" t="s">
        <v>48</v>
      </c>
      <c r="B17" s="154"/>
      <c r="C17" s="155"/>
      <c r="D17" s="52">
        <f>SUM(D10:D16)</f>
        <v>3570.19000069</v>
      </c>
    </row>
    <row r="18" spans="1:4" ht="17.25" thickBot="1">
      <c r="A18" s="156" t="s">
        <v>10</v>
      </c>
      <c r="B18" s="157"/>
      <c r="C18" s="158"/>
      <c r="D18" s="53">
        <f>D9-D17</f>
        <v>21756.331738440436</v>
      </c>
    </row>
    <row r="19" spans="1:4" ht="17.25" thickBot="1">
      <c r="A19" s="147" t="s">
        <v>20</v>
      </c>
      <c r="B19" s="148"/>
      <c r="C19" s="149"/>
      <c r="D19" s="50">
        <f>D18*0.3</f>
        <v>6526.8995215321311</v>
      </c>
    </row>
    <row r="20" spans="1:4" ht="17.25" thickBot="1">
      <c r="A20" s="159" t="s">
        <v>21</v>
      </c>
      <c r="B20" s="160"/>
      <c r="C20" s="161"/>
      <c r="D20" s="54">
        <f>D18-D19</f>
        <v>15229.432216908306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15229.432216908306</v>
      </c>
    </row>
    <row r="23" spans="1:4" ht="17.25" thickBot="1">
      <c r="A23" s="150" t="s">
        <v>299</v>
      </c>
      <c r="B23" s="151" t="s">
        <v>299</v>
      </c>
      <c r="C23" s="152"/>
      <c r="D23" s="105">
        <v>30811</v>
      </c>
    </row>
    <row r="24" spans="1:4" ht="17.25" thickBot="1">
      <c r="A24" s="150" t="s">
        <v>300</v>
      </c>
      <c r="B24" s="151" t="s">
        <v>300</v>
      </c>
      <c r="C24" s="152"/>
      <c r="D24" s="51">
        <f>D22+D23</f>
        <v>46040.432216908303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2:C22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D37D-2B73-4FB8-900A-0A6F8FF8BCB9}">
  <sheetPr>
    <tabColor rgb="FF66FFFF"/>
  </sheetPr>
  <dimension ref="A1:D27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70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4</v>
      </c>
      <c r="D2" s="137"/>
    </row>
    <row r="3" spans="1:4" ht="21" thickBot="1">
      <c r="A3" s="136" t="s">
        <v>2</v>
      </c>
      <c r="B3" s="136"/>
      <c r="C3" s="142" t="s">
        <v>71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16670.234782608695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16670.234782608695</v>
      </c>
    </row>
    <row r="10" spans="1:4" ht="17.25" thickBot="1">
      <c r="A10" s="147" t="s">
        <v>39</v>
      </c>
      <c r="B10" s="148"/>
      <c r="C10" s="149"/>
      <c r="D10" s="50">
        <v>184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180.21998402899999</v>
      </c>
    </row>
    <row r="13" spans="1:4" ht="17.25" thickBot="1">
      <c r="A13" s="147" t="s">
        <v>297</v>
      </c>
      <c r="B13" s="148"/>
      <c r="C13" s="149"/>
      <c r="D13" s="50">
        <v>583.44000000000005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386.08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2209.6499840289998</v>
      </c>
    </row>
    <row r="18" spans="1:4" ht="17.25" thickBot="1">
      <c r="A18" s="156" t="s">
        <v>10</v>
      </c>
      <c r="B18" s="157"/>
      <c r="C18" s="158"/>
      <c r="D18" s="53">
        <f>D9-D17</f>
        <v>14460.584798579695</v>
      </c>
    </row>
    <row r="19" spans="1:4" ht="17.25" thickBot="1">
      <c r="A19" s="147" t="s">
        <v>20</v>
      </c>
      <c r="B19" s="148"/>
      <c r="C19" s="149"/>
      <c r="D19" s="50">
        <f>D18*0.3</f>
        <v>4338.1754395739081</v>
      </c>
    </row>
    <row r="20" spans="1:4" ht="17.25" thickBot="1">
      <c r="A20" s="159" t="s">
        <v>21</v>
      </c>
      <c r="B20" s="160"/>
      <c r="C20" s="161"/>
      <c r="D20" s="54">
        <f>D18-D19</f>
        <v>10122.409359005787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10122.409359005787</v>
      </c>
    </row>
    <row r="23" spans="1:4" ht="17.25" thickBot="1">
      <c r="A23" s="150" t="s">
        <v>299</v>
      </c>
      <c r="B23" s="151" t="s">
        <v>299</v>
      </c>
      <c r="C23" s="152"/>
      <c r="D23" s="51">
        <v>24302.125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34424.534359005789</v>
      </c>
    </row>
    <row r="25" spans="1:4" ht="16.5">
      <c r="A25" s="12" t="s">
        <v>24</v>
      </c>
      <c r="B25" s="12"/>
      <c r="C25" s="12"/>
      <c r="D25" s="12"/>
    </row>
    <row r="26" spans="1:4" ht="18" customHeight="1">
      <c r="A26" s="15" t="s">
        <v>13</v>
      </c>
      <c r="B26" s="15" t="s">
        <v>29</v>
      </c>
      <c r="C26" s="15" t="s">
        <v>25</v>
      </c>
      <c r="D26" s="16" t="s">
        <v>7</v>
      </c>
    </row>
    <row r="27" spans="1:4" ht="24">
      <c r="A27" s="24" t="s">
        <v>72</v>
      </c>
      <c r="B27" s="25">
        <v>45221</v>
      </c>
      <c r="C27" s="26">
        <v>401014400996346</v>
      </c>
      <c r="D27" s="84">
        <v>13172.24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DD26-6842-46E8-90EA-6FF223CB161F}">
  <sheetPr>
    <tabColor rgb="FF66FFFF"/>
  </sheetPr>
  <dimension ref="A1:E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5" ht="18" thickBot="1">
      <c r="A1" s="135" t="s">
        <v>73</v>
      </c>
      <c r="B1" s="135"/>
      <c r="C1" s="135"/>
      <c r="D1" s="135"/>
    </row>
    <row r="2" spans="1:5" ht="18" thickBot="1">
      <c r="A2" s="136" t="s">
        <v>1</v>
      </c>
      <c r="B2" s="136"/>
      <c r="C2" s="137" t="s">
        <v>4</v>
      </c>
      <c r="D2" s="137"/>
    </row>
    <row r="3" spans="1:5" ht="21" thickBot="1">
      <c r="A3" s="136" t="s">
        <v>2</v>
      </c>
      <c r="B3" s="136"/>
      <c r="C3" s="142" t="s">
        <v>74</v>
      </c>
      <c r="D3" s="143"/>
    </row>
    <row r="4" spans="1:5" ht="15" thickBot="1">
      <c r="A4" s="4"/>
      <c r="B4" s="4"/>
      <c r="C4" s="4"/>
      <c r="D4" s="5"/>
    </row>
    <row r="5" spans="1:5" ht="17.25" thickBot="1">
      <c r="A5" s="144" t="s">
        <v>6</v>
      </c>
      <c r="B5" s="145"/>
      <c r="C5" s="146"/>
      <c r="D5" s="50" t="s">
        <v>7</v>
      </c>
    </row>
    <row r="6" spans="1:5" ht="17.25" thickBot="1">
      <c r="A6" s="147" t="s">
        <v>294</v>
      </c>
      <c r="B6" s="148"/>
      <c r="C6" s="149"/>
      <c r="D6" s="50">
        <v>28898.069565217393</v>
      </c>
    </row>
    <row r="7" spans="1:5" ht="17.25" thickBot="1">
      <c r="A7" s="147" t="s">
        <v>295</v>
      </c>
      <c r="B7" s="148"/>
      <c r="C7" s="149"/>
      <c r="D7" s="50">
        <v>0</v>
      </c>
    </row>
    <row r="8" spans="1:5" ht="17.25" thickBot="1">
      <c r="A8" s="147" t="s">
        <v>296</v>
      </c>
      <c r="B8" s="148"/>
      <c r="C8" s="149"/>
      <c r="D8" s="50">
        <v>0</v>
      </c>
    </row>
    <row r="9" spans="1:5" ht="17.25" thickBot="1">
      <c r="A9" s="150" t="s">
        <v>9</v>
      </c>
      <c r="B9" s="151"/>
      <c r="C9" s="152"/>
      <c r="D9" s="51">
        <f>SUM(D6:D8)</f>
        <v>28898.069565217393</v>
      </c>
    </row>
    <row r="10" spans="1:5" ht="17.25" thickBot="1">
      <c r="A10" s="147" t="s">
        <v>39</v>
      </c>
      <c r="B10" s="148"/>
      <c r="C10" s="149"/>
      <c r="D10" s="50">
        <v>184</v>
      </c>
    </row>
    <row r="11" spans="1:5" ht="17.25" thickBot="1">
      <c r="A11" s="147" t="s">
        <v>40</v>
      </c>
      <c r="B11" s="148"/>
      <c r="C11" s="149"/>
      <c r="D11" s="50">
        <v>0</v>
      </c>
    </row>
    <row r="12" spans="1:5" ht="17.25" thickBot="1">
      <c r="A12" s="147" t="s">
        <v>41</v>
      </c>
      <c r="B12" s="148"/>
      <c r="C12" s="149"/>
      <c r="D12" s="50">
        <v>151.59202949900001</v>
      </c>
    </row>
    <row r="13" spans="1:5" ht="17.25" thickBot="1">
      <c r="A13" s="147" t="s">
        <v>297</v>
      </c>
      <c r="B13" s="148"/>
      <c r="C13" s="149"/>
      <c r="D13" s="50">
        <v>1494.5</v>
      </c>
      <c r="E13" s="101"/>
    </row>
    <row r="14" spans="1:5" ht="17.25" thickBot="1">
      <c r="A14" s="147" t="s">
        <v>43</v>
      </c>
      <c r="B14" s="148"/>
      <c r="C14" s="149"/>
      <c r="D14" s="50">
        <v>875.91</v>
      </c>
    </row>
    <row r="15" spans="1:5" ht="17.25" thickBot="1">
      <c r="A15" s="147" t="s">
        <v>44</v>
      </c>
      <c r="B15" s="148"/>
      <c r="C15" s="149"/>
      <c r="D15" s="50">
        <v>526.31999999999994</v>
      </c>
    </row>
    <row r="16" spans="1:5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3232.3220294989997</v>
      </c>
    </row>
    <row r="18" spans="1:4" ht="17.25" thickBot="1">
      <c r="A18" s="156" t="s">
        <v>10</v>
      </c>
      <c r="B18" s="157"/>
      <c r="C18" s="158"/>
      <c r="D18" s="53">
        <f>D9-D17</f>
        <v>25665.747535718394</v>
      </c>
    </row>
    <row r="19" spans="1:4" ht="17.25" thickBot="1">
      <c r="A19" s="147" t="s">
        <v>20</v>
      </c>
      <c r="B19" s="148"/>
      <c r="C19" s="149"/>
      <c r="D19" s="50">
        <f>D18*0.3</f>
        <v>7699.7242607155176</v>
      </c>
    </row>
    <row r="20" spans="1:4" ht="17.25" thickBot="1">
      <c r="A20" s="159" t="s">
        <v>21</v>
      </c>
      <c r="B20" s="160"/>
      <c r="C20" s="161"/>
      <c r="D20" s="54">
        <f>D18-D19</f>
        <v>17966.023275002877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17966.023275002877</v>
      </c>
    </row>
    <row r="23" spans="1:4" ht="17.25" thickBot="1">
      <c r="A23" s="150" t="s">
        <v>299</v>
      </c>
      <c r="B23" s="151" t="s">
        <v>299</v>
      </c>
      <c r="C23" s="152"/>
      <c r="D23" s="51">
        <v>27322.382000000001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45288.405275002879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73CE-9680-4965-9FEF-67FB100D8076}">
  <sheetPr>
    <tabColor rgb="FF66FFFF"/>
  </sheetPr>
  <dimension ref="A1:N29"/>
  <sheetViews>
    <sheetView rightToLeft="1" workbookViewId="0">
      <selection activeCell="F26" sqref="A24:H26"/>
    </sheetView>
  </sheetViews>
  <sheetFormatPr defaultColWidth="8.875" defaultRowHeight="14.25"/>
  <cols>
    <col min="1" max="1" width="18" customWidth="1"/>
    <col min="2" max="2" width="12.625" customWidth="1"/>
    <col min="3" max="3" width="20.875" bestFit="1" customWidth="1"/>
    <col min="4" max="4" width="13.375" customWidth="1"/>
    <col min="5" max="5" width="1.125" customWidth="1"/>
    <col min="6" max="6" width="18" customWidth="1"/>
    <col min="7" max="7" width="12.625" customWidth="1"/>
    <col min="8" max="8" width="20.875" bestFit="1" customWidth="1"/>
    <col min="9" max="9" width="13.375" customWidth="1"/>
    <col min="10" max="10" width="1.125" customWidth="1"/>
    <col min="11" max="11" width="18" customWidth="1"/>
    <col min="12" max="12" width="12.625" customWidth="1"/>
    <col min="13" max="13" width="20.875" bestFit="1" customWidth="1"/>
    <col min="14" max="14" width="13.375" customWidth="1"/>
  </cols>
  <sheetData>
    <row r="1" spans="1:14" ht="18" thickBot="1">
      <c r="A1" s="135" t="s">
        <v>75</v>
      </c>
      <c r="B1" s="135"/>
      <c r="C1" s="135"/>
      <c r="D1" s="135"/>
      <c r="F1" s="135" t="s">
        <v>75</v>
      </c>
      <c r="G1" s="135"/>
      <c r="H1" s="135"/>
      <c r="I1" s="135"/>
      <c r="K1" s="135" t="s">
        <v>75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4</v>
      </c>
      <c r="D2" s="137"/>
      <c r="F2" s="136" t="s">
        <v>1</v>
      </c>
      <c r="G2" s="136"/>
      <c r="H2" s="137" t="s">
        <v>79</v>
      </c>
      <c r="I2" s="137"/>
      <c r="K2" s="136" t="s">
        <v>1</v>
      </c>
      <c r="L2" s="136"/>
      <c r="M2" s="137"/>
      <c r="N2" s="137"/>
    </row>
    <row r="3" spans="1:14" ht="21" thickBot="1">
      <c r="A3" s="136" t="s">
        <v>2</v>
      </c>
      <c r="B3" s="136"/>
      <c r="C3" s="142" t="s">
        <v>76</v>
      </c>
      <c r="D3" s="143"/>
      <c r="F3" s="136" t="s">
        <v>2</v>
      </c>
      <c r="G3" s="136"/>
      <c r="H3" s="142" t="s">
        <v>80</v>
      </c>
      <c r="I3" s="143"/>
      <c r="K3" s="136" t="s">
        <v>2</v>
      </c>
      <c r="L3" s="136"/>
      <c r="M3" s="142" t="str">
        <f>H3&amp;"-"&amp;C3</f>
        <v>ر ر س 5466 -د ي ر9573</v>
      </c>
      <c r="N3" s="143"/>
    </row>
    <row r="4" spans="1:14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19764.34782608696</v>
      </c>
      <c r="F6" s="147" t="s">
        <v>294</v>
      </c>
      <c r="G6" s="148"/>
      <c r="H6" s="149"/>
      <c r="I6" s="50">
        <v>19219.713043478259</v>
      </c>
      <c r="K6" s="147" t="s">
        <v>8</v>
      </c>
      <c r="L6" s="148"/>
      <c r="M6" s="149"/>
      <c r="N6" s="50">
        <f>D6+I6</f>
        <v>38984.060869565219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333</v>
      </c>
      <c r="L7" s="148"/>
      <c r="M7" s="149"/>
      <c r="N7" s="50">
        <f t="shared" ref="N7:N24" si="0">D7+I7</f>
        <v>0</v>
      </c>
    </row>
    <row r="8" spans="1:14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19764.34782608696</v>
      </c>
      <c r="F9" s="150" t="s">
        <v>9</v>
      </c>
      <c r="G9" s="151"/>
      <c r="H9" s="152"/>
      <c r="I9" s="51">
        <f>SUM(I6:I8)</f>
        <v>19219.713043478259</v>
      </c>
      <c r="K9" s="150" t="s">
        <v>9</v>
      </c>
      <c r="L9" s="151"/>
      <c r="M9" s="152"/>
      <c r="N9" s="51">
        <f t="shared" si="0"/>
        <v>38984.060869565219</v>
      </c>
    </row>
    <row r="10" spans="1:14" ht="17.25" thickBot="1">
      <c r="A10" s="147" t="s">
        <v>39</v>
      </c>
      <c r="B10" s="148"/>
      <c r="C10" s="149"/>
      <c r="D10" s="50">
        <v>901.39</v>
      </c>
      <c r="F10" s="147" t="s">
        <v>39</v>
      </c>
      <c r="G10" s="148"/>
      <c r="H10" s="149"/>
      <c r="I10" s="50">
        <v>204</v>
      </c>
      <c r="K10" s="147" t="s">
        <v>39</v>
      </c>
      <c r="L10" s="148"/>
      <c r="M10" s="149"/>
      <c r="N10" s="50">
        <f t="shared" si="0"/>
        <v>1105.3899999999999</v>
      </c>
    </row>
    <row r="11" spans="1:14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f t="shared" si="0"/>
        <v>0</v>
      </c>
    </row>
    <row r="12" spans="1:14" ht="17.25" thickBot="1">
      <c r="A12" s="147" t="s">
        <v>41</v>
      </c>
      <c r="B12" s="148"/>
      <c r="C12" s="149"/>
      <c r="D12" s="50">
        <v>83.666051684999999</v>
      </c>
      <c r="F12" s="147" t="s">
        <v>41</v>
      </c>
      <c r="G12" s="148"/>
      <c r="H12" s="149"/>
      <c r="I12" s="50">
        <v>172.99939990000001</v>
      </c>
      <c r="K12" s="147" t="s">
        <v>41</v>
      </c>
      <c r="L12" s="148"/>
      <c r="M12" s="149"/>
      <c r="N12" s="50">
        <f t="shared" si="0"/>
        <v>256.66545158500003</v>
      </c>
    </row>
    <row r="13" spans="1:14" ht="17.25" thickBot="1">
      <c r="A13" s="147" t="s">
        <v>297</v>
      </c>
      <c r="B13" s="148"/>
      <c r="C13" s="149"/>
      <c r="D13" s="50">
        <v>2778.7000000000003</v>
      </c>
      <c r="F13" s="147" t="s">
        <v>297</v>
      </c>
      <c r="G13" s="148"/>
      <c r="H13" s="149"/>
      <c r="I13" s="50">
        <v>695.64</v>
      </c>
      <c r="K13" s="147" t="s">
        <v>42</v>
      </c>
      <c r="L13" s="148"/>
      <c r="M13" s="149"/>
      <c r="N13" s="50">
        <f t="shared" si="0"/>
        <v>3474.34</v>
      </c>
    </row>
    <row r="14" spans="1:14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875.91399999999999</v>
      </c>
      <c r="K14" s="147" t="s">
        <v>43</v>
      </c>
      <c r="L14" s="148"/>
      <c r="M14" s="149"/>
      <c r="N14" s="50">
        <f t="shared" si="0"/>
        <v>875.91399999999999</v>
      </c>
    </row>
    <row r="15" spans="1:14" ht="17.25" thickBot="1">
      <c r="A15" s="147" t="s">
        <v>44</v>
      </c>
      <c r="B15" s="148"/>
      <c r="C15" s="149"/>
      <c r="D15" s="50">
        <v>657.3900000000001</v>
      </c>
      <c r="F15" s="147" t="s">
        <v>44</v>
      </c>
      <c r="G15" s="148"/>
      <c r="H15" s="149"/>
      <c r="I15" s="50">
        <v>785.20999999999992</v>
      </c>
      <c r="K15" s="147" t="s">
        <v>44</v>
      </c>
      <c r="L15" s="148"/>
      <c r="M15" s="149"/>
      <c r="N15" s="50">
        <f t="shared" si="0"/>
        <v>1442.6</v>
      </c>
    </row>
    <row r="16" spans="1:14" ht="17.25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0</v>
      </c>
      <c r="K16" s="147" t="s">
        <v>298</v>
      </c>
      <c r="L16" s="148"/>
      <c r="M16" s="149"/>
      <c r="N16" s="50">
        <f t="shared" si="0"/>
        <v>300</v>
      </c>
    </row>
    <row r="17" spans="1:14" ht="17.25" thickBot="1">
      <c r="A17" s="153" t="s">
        <v>48</v>
      </c>
      <c r="B17" s="154"/>
      <c r="C17" s="155"/>
      <c r="D17" s="52">
        <f>SUM(D10:D16)</f>
        <v>4721.1460516850002</v>
      </c>
      <c r="F17" s="153" t="s">
        <v>48</v>
      </c>
      <c r="G17" s="154"/>
      <c r="H17" s="155"/>
      <c r="I17" s="52">
        <f>SUM(I10:I16)</f>
        <v>2733.7633999</v>
      </c>
      <c r="K17" s="153" t="s">
        <v>48</v>
      </c>
      <c r="L17" s="154"/>
      <c r="M17" s="155"/>
      <c r="N17" s="52">
        <f t="shared" si="0"/>
        <v>7454.9094515850002</v>
      </c>
    </row>
    <row r="18" spans="1:14" ht="17.25" thickBot="1">
      <c r="A18" s="156" t="s">
        <v>10</v>
      </c>
      <c r="B18" s="157"/>
      <c r="C18" s="158"/>
      <c r="D18" s="53">
        <f>D9-D17</f>
        <v>15043.201774401959</v>
      </c>
      <c r="F18" s="156" t="s">
        <v>10</v>
      </c>
      <c r="G18" s="157"/>
      <c r="H18" s="158"/>
      <c r="I18" s="53">
        <f>I9-I17</f>
        <v>16485.94964357826</v>
      </c>
      <c r="K18" s="156" t="s">
        <v>10</v>
      </c>
      <c r="L18" s="157"/>
      <c r="M18" s="158"/>
      <c r="N18" s="53">
        <f t="shared" si="0"/>
        <v>31529.151417980218</v>
      </c>
    </row>
    <row r="19" spans="1:14" ht="17.25" thickBot="1">
      <c r="A19" s="147" t="s">
        <v>20</v>
      </c>
      <c r="B19" s="148"/>
      <c r="C19" s="149"/>
      <c r="D19" s="50">
        <f>D18*0.3</f>
        <v>4512.9605323205878</v>
      </c>
      <c r="F19" s="147" t="s">
        <v>20</v>
      </c>
      <c r="G19" s="148"/>
      <c r="H19" s="149"/>
      <c r="I19" s="50">
        <f>I18*0.3</f>
        <v>4945.7848930734781</v>
      </c>
      <c r="K19" s="147" t="s">
        <v>20</v>
      </c>
      <c r="L19" s="148"/>
      <c r="M19" s="149"/>
      <c r="N19" s="50">
        <f t="shared" si="0"/>
        <v>9458.7454253940668</v>
      </c>
    </row>
    <row r="20" spans="1:14" ht="17.25" thickBot="1">
      <c r="A20" s="159" t="s">
        <v>21</v>
      </c>
      <c r="B20" s="160"/>
      <c r="C20" s="161"/>
      <c r="D20" s="54">
        <f>D18-D19</f>
        <v>10530.241242081371</v>
      </c>
      <c r="F20" s="159" t="s">
        <v>21</v>
      </c>
      <c r="G20" s="160"/>
      <c r="H20" s="161"/>
      <c r="I20" s="54">
        <f>I18-I19</f>
        <v>11540.164750504782</v>
      </c>
      <c r="K20" s="159" t="s">
        <v>21</v>
      </c>
      <c r="L20" s="160"/>
      <c r="M20" s="161"/>
      <c r="N20" s="54">
        <f t="shared" si="0"/>
        <v>22070.405992586151</v>
      </c>
    </row>
    <row r="21" spans="1:14" ht="17.25" thickBot="1">
      <c r="A21" s="147" t="s">
        <v>11</v>
      </c>
      <c r="B21" s="148"/>
      <c r="C21" s="149"/>
      <c r="D21" s="50">
        <v>0</v>
      </c>
      <c r="F21" s="147" t="s">
        <v>11</v>
      </c>
      <c r="G21" s="148"/>
      <c r="H21" s="149"/>
      <c r="I21" s="50">
        <v>0</v>
      </c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10530.241242081371</v>
      </c>
      <c r="F22" s="150" t="s">
        <v>12</v>
      </c>
      <c r="G22" s="151"/>
      <c r="H22" s="152"/>
      <c r="I22" s="51">
        <f>I20-I21</f>
        <v>11540.164750504782</v>
      </c>
      <c r="K22" s="150" t="s">
        <v>12</v>
      </c>
      <c r="L22" s="151"/>
      <c r="M22" s="152"/>
      <c r="N22" s="51">
        <f t="shared" si="0"/>
        <v>22070.405992586151</v>
      </c>
    </row>
    <row r="23" spans="1:14" ht="17.25" thickBot="1">
      <c r="A23" s="150" t="s">
        <v>299</v>
      </c>
      <c r="B23" s="151" t="s">
        <v>299</v>
      </c>
      <c r="C23" s="152"/>
      <c r="D23" s="51">
        <v>29436</v>
      </c>
      <c r="F23" s="150" t="s">
        <v>299</v>
      </c>
      <c r="G23" s="151" t="s">
        <v>299</v>
      </c>
      <c r="H23" s="152"/>
      <c r="I23" s="51">
        <v>10131</v>
      </c>
      <c r="K23" s="150" t="s">
        <v>299</v>
      </c>
      <c r="L23" s="151" t="s">
        <v>299</v>
      </c>
      <c r="M23" s="152"/>
      <c r="N23" s="51">
        <f t="shared" si="0"/>
        <v>39567</v>
      </c>
    </row>
    <row r="24" spans="1:14" ht="17.25" thickBot="1">
      <c r="A24" s="150" t="s">
        <v>300</v>
      </c>
      <c r="B24" s="151" t="s">
        <v>300</v>
      </c>
      <c r="C24" s="152"/>
      <c r="D24" s="51">
        <f>SUM(D22:D23)</f>
        <v>39966.241242081371</v>
      </c>
      <c r="F24" s="150" t="s">
        <v>300</v>
      </c>
      <c r="G24" s="151" t="s">
        <v>300</v>
      </c>
      <c r="H24" s="152"/>
      <c r="I24" s="51">
        <f>SUM(I22:I23)</f>
        <v>21671.16475050478</v>
      </c>
      <c r="K24" s="150" t="s">
        <v>300</v>
      </c>
      <c r="L24" s="151" t="s">
        <v>300</v>
      </c>
      <c r="M24" s="152"/>
      <c r="N24" s="51">
        <f t="shared" si="0"/>
        <v>61637.405992586151</v>
      </c>
    </row>
    <row r="25" spans="1:14" ht="16.5">
      <c r="A25" s="12" t="s">
        <v>24</v>
      </c>
      <c r="B25" s="4"/>
      <c r="C25" s="4"/>
      <c r="D25" s="5"/>
    </row>
    <row r="26" spans="1:14">
      <c r="A26" s="15" t="s">
        <v>13</v>
      </c>
      <c r="B26" s="15" t="s">
        <v>29</v>
      </c>
      <c r="C26" s="15" t="s">
        <v>63</v>
      </c>
      <c r="D26" s="16" t="s">
        <v>7</v>
      </c>
    </row>
    <row r="27" spans="1:14" ht="24">
      <c r="A27" s="24" t="s">
        <v>77</v>
      </c>
      <c r="B27" s="100">
        <v>2022</v>
      </c>
      <c r="C27" s="26" t="s">
        <v>65</v>
      </c>
      <c r="D27" s="78">
        <v>9360</v>
      </c>
    </row>
    <row r="28" spans="1:14" ht="16.5">
      <c r="A28" s="24" t="s">
        <v>78</v>
      </c>
      <c r="B28" s="100">
        <v>2023</v>
      </c>
      <c r="C28" s="26">
        <v>401014501792787</v>
      </c>
      <c r="D28" s="78">
        <v>2819</v>
      </c>
    </row>
    <row r="29" spans="1:14" ht="28.5" customHeight="1">
      <c r="A29" s="15" t="s">
        <v>55</v>
      </c>
      <c r="B29" s="15"/>
      <c r="C29" s="15"/>
      <c r="D29" s="82">
        <f>SUM(D27:D28)</f>
        <v>12179</v>
      </c>
    </row>
  </sheetData>
  <mergeCells count="75">
    <mergeCell ref="K21:M21"/>
    <mergeCell ref="K22:M22"/>
    <mergeCell ref="K14:M14"/>
    <mergeCell ref="K15:M15"/>
    <mergeCell ref="K16:M16"/>
    <mergeCell ref="K17:M17"/>
    <mergeCell ref="K13:M13"/>
    <mergeCell ref="K8:M8"/>
    <mergeCell ref="K18:M18"/>
    <mergeCell ref="K19:M19"/>
    <mergeCell ref="K20:M20"/>
    <mergeCell ref="F18:H18"/>
    <mergeCell ref="F19:H19"/>
    <mergeCell ref="F20:H20"/>
    <mergeCell ref="F21:H21"/>
    <mergeCell ref="K1:N1"/>
    <mergeCell ref="K2:L2"/>
    <mergeCell ref="M2:N2"/>
    <mergeCell ref="K3:L3"/>
    <mergeCell ref="M3:N3"/>
    <mergeCell ref="K5:M5"/>
    <mergeCell ref="K6:M6"/>
    <mergeCell ref="K7:M7"/>
    <mergeCell ref="K9:M9"/>
    <mergeCell ref="K10:M10"/>
    <mergeCell ref="K11:M11"/>
    <mergeCell ref="K12:M12"/>
    <mergeCell ref="A21:C21"/>
    <mergeCell ref="A12:C12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F10:H10"/>
    <mergeCell ref="F11:H11"/>
    <mergeCell ref="F8:H8"/>
    <mergeCell ref="F16:H16"/>
    <mergeCell ref="F17:H17"/>
    <mergeCell ref="A22:C22"/>
    <mergeCell ref="A13:C13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7:C17"/>
    <mergeCell ref="A18:C18"/>
    <mergeCell ref="A19:C19"/>
    <mergeCell ref="A20:C20"/>
    <mergeCell ref="K23:M23"/>
    <mergeCell ref="K24:M24"/>
    <mergeCell ref="A11:C11"/>
    <mergeCell ref="A8:C8"/>
    <mergeCell ref="A23:C23"/>
    <mergeCell ref="A24:C24"/>
    <mergeCell ref="F23:H23"/>
    <mergeCell ref="F24:H24"/>
    <mergeCell ref="A14:C14"/>
    <mergeCell ref="A15:C15"/>
    <mergeCell ref="A16:C16"/>
    <mergeCell ref="F12:H12"/>
    <mergeCell ref="F22:H22"/>
    <mergeCell ref="F13:H13"/>
    <mergeCell ref="F14:H14"/>
    <mergeCell ref="F15:H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E56C-29AE-470C-AC5A-CD0907711D8C}">
  <sheetPr>
    <tabColor rgb="FF66FFFF"/>
  </sheetPr>
  <dimension ref="A1:BL141"/>
  <sheetViews>
    <sheetView rightToLeft="1" topLeftCell="BB14" workbookViewId="0">
      <selection activeCell="BK28" sqref="BK28"/>
    </sheetView>
  </sheetViews>
  <sheetFormatPr defaultColWidth="8.875" defaultRowHeight="20.25"/>
  <cols>
    <col min="1" max="1" width="18" customWidth="1"/>
    <col min="2" max="2" width="12.625" customWidth="1"/>
    <col min="3" max="3" width="16.625" customWidth="1"/>
    <col min="4" max="4" width="13.375" customWidth="1"/>
    <col min="5" max="5" width="1.5" style="47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5" style="47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1.5" style="47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1.5" style="47" customWidth="1"/>
    <col min="21" max="21" width="18" customWidth="1"/>
    <col min="22" max="22" width="12.625" customWidth="1"/>
    <col min="23" max="23" width="16.625" customWidth="1"/>
    <col min="24" max="24" width="13.375" customWidth="1"/>
    <col min="25" max="25" width="1.5" style="47" customWidth="1"/>
    <col min="26" max="26" width="12.125" style="2" customWidth="1"/>
    <col min="27" max="27" width="18.125" style="2" customWidth="1"/>
    <col min="28" max="28" width="16" style="2" customWidth="1"/>
    <col min="29" max="29" width="15.125" style="2" customWidth="1"/>
    <col min="30" max="30" width="1" style="32" customWidth="1"/>
    <col min="31" max="31" width="12.125" style="2" customWidth="1"/>
    <col min="32" max="32" width="18.125" style="2" customWidth="1"/>
    <col min="33" max="33" width="16" style="2" customWidth="1"/>
    <col min="34" max="34" width="15.125" style="2" customWidth="1"/>
    <col min="35" max="35" width="1" style="32" customWidth="1"/>
    <col min="36" max="36" width="12.125" style="2" customWidth="1"/>
    <col min="37" max="37" width="18.125" style="2" customWidth="1"/>
    <col min="38" max="38" width="17.125" style="2" customWidth="1"/>
    <col min="39" max="39" width="15.125" style="2" customWidth="1"/>
    <col min="40" max="40" width="1" style="32" customWidth="1"/>
    <col min="41" max="41" width="21.125" style="2" customWidth="1"/>
    <col min="42" max="42" width="21.375" style="2" customWidth="1"/>
    <col min="43" max="43" width="13.625" style="2" customWidth="1"/>
    <col min="44" max="44" width="12.125" style="2" customWidth="1"/>
    <col min="45" max="45" width="0.625" style="32" customWidth="1"/>
    <col min="46" max="46" width="21.125" style="2" customWidth="1"/>
    <col min="47" max="47" width="21.375" style="2" customWidth="1"/>
    <col min="48" max="48" width="17.125" style="2" customWidth="1"/>
    <col min="49" max="49" width="10.625" style="2" customWidth="1"/>
    <col min="50" max="50" width="0.875" style="32" customWidth="1"/>
    <col min="51" max="51" width="21.125" style="2" customWidth="1"/>
    <col min="52" max="52" width="21.375" style="2" customWidth="1"/>
    <col min="53" max="53" width="17.125" style="2" customWidth="1"/>
    <col min="54" max="54" width="10.625" style="2" customWidth="1"/>
    <col min="55" max="55" width="0.625" style="32" customWidth="1"/>
    <col min="56" max="56" width="19.125" style="2" customWidth="1"/>
    <col min="57" max="57" width="18.375" style="2" customWidth="1"/>
    <col min="58" max="58" width="18" style="2" customWidth="1"/>
    <col min="59" max="59" width="13.5" style="2" customWidth="1"/>
    <col min="60" max="60" width="0.625" style="32" customWidth="1"/>
    <col min="61" max="61" width="18" customWidth="1"/>
    <col min="62" max="62" width="12.625" customWidth="1"/>
    <col min="63" max="63" width="45.75" customWidth="1"/>
    <col min="64" max="64" width="15.625" customWidth="1"/>
    <col min="66" max="66" width="15.25" customWidth="1"/>
  </cols>
  <sheetData>
    <row r="1" spans="1:64" ht="18" thickBot="1">
      <c r="A1" s="135" t="s">
        <v>81</v>
      </c>
      <c r="B1" s="135"/>
      <c r="C1" s="135"/>
      <c r="D1" s="135"/>
      <c r="F1" s="135" t="s">
        <v>81</v>
      </c>
      <c r="G1" s="135"/>
      <c r="H1" s="135"/>
      <c r="I1" s="135"/>
      <c r="K1" s="135" t="s">
        <v>81</v>
      </c>
      <c r="L1" s="135"/>
      <c r="M1" s="135"/>
      <c r="N1" s="135"/>
      <c r="P1" s="135" t="s">
        <v>81</v>
      </c>
      <c r="Q1" s="135"/>
      <c r="R1" s="135"/>
      <c r="S1" s="135"/>
      <c r="U1" s="135" t="s">
        <v>81</v>
      </c>
      <c r="V1" s="135"/>
      <c r="W1" s="135"/>
      <c r="X1" s="135"/>
      <c r="Z1" s="135" t="s">
        <v>81</v>
      </c>
      <c r="AA1" s="135"/>
      <c r="AB1" s="135"/>
      <c r="AC1" s="135"/>
      <c r="AD1" s="34"/>
      <c r="AE1" s="135" t="s">
        <v>81</v>
      </c>
      <c r="AF1" s="135"/>
      <c r="AG1" s="135"/>
      <c r="AH1" s="135"/>
      <c r="AI1" s="34"/>
      <c r="AJ1" s="135" t="s">
        <v>81</v>
      </c>
      <c r="AK1" s="135"/>
      <c r="AL1" s="135"/>
      <c r="AM1" s="135"/>
      <c r="AN1" s="34"/>
      <c r="AO1" s="135" t="s">
        <v>81</v>
      </c>
      <c r="AP1" s="135"/>
      <c r="AQ1" s="135"/>
      <c r="AR1" s="135"/>
      <c r="AS1" s="34"/>
      <c r="AT1" s="135" t="s">
        <v>81</v>
      </c>
      <c r="AU1" s="135"/>
      <c r="AV1" s="135"/>
      <c r="AW1" s="135"/>
      <c r="AX1" s="34"/>
      <c r="AY1" s="135" t="s">
        <v>81</v>
      </c>
      <c r="AZ1" s="135"/>
      <c r="BA1" s="135"/>
      <c r="BB1" s="135"/>
      <c r="BC1" s="34"/>
      <c r="BD1" s="135" t="s">
        <v>81</v>
      </c>
      <c r="BE1" s="135"/>
      <c r="BF1" s="135"/>
      <c r="BG1" s="135"/>
      <c r="BH1" s="34"/>
      <c r="BI1" s="135" t="s">
        <v>81</v>
      </c>
      <c r="BJ1" s="135"/>
      <c r="BK1" s="135"/>
      <c r="BL1" s="135"/>
    </row>
    <row r="2" spans="1:64" ht="21" thickBot="1">
      <c r="A2" s="136" t="s">
        <v>1</v>
      </c>
      <c r="B2" s="136"/>
      <c r="C2" s="137" t="s">
        <v>4</v>
      </c>
      <c r="D2" s="137"/>
      <c r="F2" s="136" t="s">
        <v>1</v>
      </c>
      <c r="G2" s="136"/>
      <c r="H2" s="137" t="s">
        <v>27</v>
      </c>
      <c r="I2" s="137" t="s">
        <v>82</v>
      </c>
      <c r="K2" s="136" t="s">
        <v>1</v>
      </c>
      <c r="L2" s="136"/>
      <c r="M2" s="137" t="s">
        <v>85</v>
      </c>
      <c r="N2" s="137" t="s">
        <v>86</v>
      </c>
      <c r="P2" s="136" t="s">
        <v>1</v>
      </c>
      <c r="Q2" s="136"/>
      <c r="R2" s="137" t="s">
        <v>79</v>
      </c>
      <c r="S2" s="137" t="s">
        <v>88</v>
      </c>
      <c r="U2" s="136" t="s">
        <v>1</v>
      </c>
      <c r="V2" s="136"/>
      <c r="W2" s="137" t="s">
        <v>90</v>
      </c>
      <c r="X2" s="137"/>
      <c r="Z2" s="136" t="s">
        <v>1</v>
      </c>
      <c r="AA2" s="136"/>
      <c r="AB2" s="137" t="s">
        <v>224</v>
      </c>
      <c r="AC2" s="137"/>
      <c r="AE2" s="136" t="s">
        <v>1</v>
      </c>
      <c r="AF2" s="136"/>
      <c r="AG2" s="137" t="s">
        <v>238</v>
      </c>
      <c r="AH2" s="137"/>
      <c r="AJ2" s="136" t="s">
        <v>1</v>
      </c>
      <c r="AK2" s="136"/>
      <c r="AL2" s="137" t="s">
        <v>258</v>
      </c>
      <c r="AM2" s="137"/>
      <c r="AO2" s="136" t="s">
        <v>1</v>
      </c>
      <c r="AP2" s="136"/>
      <c r="AQ2" s="172" t="s">
        <v>260</v>
      </c>
      <c r="AR2" s="172"/>
      <c r="AT2" s="136" t="s">
        <v>1</v>
      </c>
      <c r="AU2" s="136"/>
      <c r="AV2" s="172" t="s">
        <v>260</v>
      </c>
      <c r="AW2" s="172"/>
      <c r="AY2" s="136" t="s">
        <v>1</v>
      </c>
      <c r="AZ2" s="136"/>
      <c r="BA2" s="172" t="s">
        <v>260</v>
      </c>
      <c r="BB2" s="172"/>
      <c r="BD2" s="136" t="s">
        <v>1</v>
      </c>
      <c r="BE2" s="136"/>
      <c r="BF2" s="170" t="s">
        <v>263</v>
      </c>
      <c r="BG2" s="171"/>
      <c r="BI2" s="136" t="s">
        <v>47</v>
      </c>
      <c r="BJ2" s="136"/>
      <c r="BK2" s="137">
        <v>12</v>
      </c>
      <c r="BL2" s="137"/>
    </row>
    <row r="3" spans="1:64" ht="21" thickBot="1">
      <c r="A3" s="136" t="s">
        <v>2</v>
      </c>
      <c r="B3" s="136"/>
      <c r="C3" s="142" t="s">
        <v>84</v>
      </c>
      <c r="D3" s="143"/>
      <c r="F3" s="136" t="s">
        <v>2</v>
      </c>
      <c r="G3" s="136"/>
      <c r="H3" s="142" t="s">
        <v>83</v>
      </c>
      <c r="I3" s="143" t="s">
        <v>83</v>
      </c>
      <c r="K3" s="136" t="s">
        <v>2</v>
      </c>
      <c r="L3" s="136"/>
      <c r="M3" s="142" t="s">
        <v>87</v>
      </c>
      <c r="N3" s="143" t="s">
        <v>87</v>
      </c>
      <c r="P3" s="136" t="s">
        <v>2</v>
      </c>
      <c r="Q3" s="136"/>
      <c r="R3" s="142" t="s">
        <v>89</v>
      </c>
      <c r="S3" s="143" t="s">
        <v>89</v>
      </c>
      <c r="U3" s="136" t="s">
        <v>2</v>
      </c>
      <c r="V3" s="136"/>
      <c r="W3" s="142" t="s">
        <v>91</v>
      </c>
      <c r="X3" s="143"/>
      <c r="Z3" s="136" t="s">
        <v>2</v>
      </c>
      <c r="AA3" s="136"/>
      <c r="AB3" s="142" t="s">
        <v>256</v>
      </c>
      <c r="AC3" s="143"/>
      <c r="AE3" s="136" t="s">
        <v>2</v>
      </c>
      <c r="AF3" s="136"/>
      <c r="AG3" s="142" t="s">
        <v>257</v>
      </c>
      <c r="AH3" s="143"/>
      <c r="AJ3" s="136" t="s">
        <v>2</v>
      </c>
      <c r="AK3" s="136"/>
      <c r="AL3" s="142" t="s">
        <v>259</v>
      </c>
      <c r="AM3" s="143"/>
      <c r="AO3" s="136" t="s">
        <v>2</v>
      </c>
      <c r="AP3" s="136"/>
      <c r="AQ3" s="142" t="s">
        <v>261</v>
      </c>
      <c r="AR3" s="143"/>
      <c r="AT3" s="136" t="s">
        <v>2</v>
      </c>
      <c r="AU3" s="136"/>
      <c r="AV3" s="142" t="s">
        <v>306</v>
      </c>
      <c r="AW3" s="143"/>
      <c r="AY3" s="136" t="s">
        <v>2</v>
      </c>
      <c r="AZ3" s="136"/>
      <c r="BA3" s="142" t="s">
        <v>262</v>
      </c>
      <c r="BB3" s="143"/>
      <c r="BD3" s="136" t="s">
        <v>2</v>
      </c>
      <c r="BE3" s="136"/>
      <c r="BF3" s="142" t="s">
        <v>264</v>
      </c>
      <c r="BG3" s="143"/>
      <c r="BI3" s="136" t="s">
        <v>2</v>
      </c>
      <c r="BJ3" s="136"/>
      <c r="BK3" s="185"/>
      <c r="BL3" s="186"/>
    </row>
    <row r="4" spans="1:64" ht="21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  <c r="P4" s="4"/>
      <c r="Q4" s="4"/>
      <c r="R4" s="4"/>
      <c r="S4" s="5"/>
      <c r="U4" s="4"/>
      <c r="V4" s="4"/>
      <c r="W4" s="4"/>
      <c r="X4" s="5"/>
      <c r="Z4" s="4"/>
      <c r="AA4" s="4"/>
      <c r="AB4" s="4"/>
      <c r="AC4" s="5"/>
      <c r="AE4" s="4"/>
      <c r="AF4" s="4"/>
      <c r="AG4" s="4"/>
      <c r="AH4" s="5"/>
      <c r="AJ4" s="6"/>
      <c r="AK4" s="6"/>
      <c r="AL4" s="6"/>
      <c r="AM4" s="7"/>
      <c r="AO4" s="6"/>
      <c r="AP4" s="6"/>
      <c r="AQ4" s="6"/>
      <c r="AR4" s="7"/>
      <c r="AT4" s="6"/>
      <c r="AU4" s="6"/>
      <c r="AV4" s="6"/>
      <c r="AW4" s="7"/>
      <c r="AY4" s="6"/>
      <c r="AZ4" s="6"/>
      <c r="BA4" s="6"/>
      <c r="BB4" s="7"/>
      <c r="BD4" s="6"/>
      <c r="BE4" s="6"/>
      <c r="BF4" s="6"/>
      <c r="BG4" s="7"/>
      <c r="BI4" s="4"/>
      <c r="BJ4" s="4"/>
      <c r="BK4" s="4"/>
      <c r="BL4" s="5"/>
    </row>
    <row r="5" spans="1:64" ht="21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U5" s="144" t="s">
        <v>6</v>
      </c>
      <c r="V5" s="145"/>
      <c r="W5" s="146"/>
      <c r="X5" s="50" t="s">
        <v>7</v>
      </c>
      <c r="Z5" s="144" t="s">
        <v>6</v>
      </c>
      <c r="AA5" s="145"/>
      <c r="AB5" s="146"/>
      <c r="AC5" s="50" t="s">
        <v>7</v>
      </c>
      <c r="AE5" s="144" t="s">
        <v>6</v>
      </c>
      <c r="AF5" s="145"/>
      <c r="AG5" s="146"/>
      <c r="AH5" s="50" t="s">
        <v>7</v>
      </c>
      <c r="AJ5" s="144" t="s">
        <v>6</v>
      </c>
      <c r="AK5" s="145"/>
      <c r="AL5" s="146"/>
      <c r="AM5" s="50" t="s">
        <v>7</v>
      </c>
      <c r="AO5" s="144" t="s">
        <v>6</v>
      </c>
      <c r="AP5" s="145"/>
      <c r="AQ5" s="146"/>
      <c r="AR5" s="50" t="s">
        <v>7</v>
      </c>
      <c r="AT5" s="144" t="s">
        <v>6</v>
      </c>
      <c r="AU5" s="145"/>
      <c r="AV5" s="146"/>
      <c r="AW5" s="50" t="s">
        <v>7</v>
      </c>
      <c r="AY5" s="144" t="s">
        <v>6</v>
      </c>
      <c r="AZ5" s="145"/>
      <c r="BA5" s="146"/>
      <c r="BB5" s="50" t="s">
        <v>7</v>
      </c>
      <c r="BD5" s="144" t="s">
        <v>6</v>
      </c>
      <c r="BE5" s="145"/>
      <c r="BF5" s="146"/>
      <c r="BG5" s="50" t="s">
        <v>7</v>
      </c>
      <c r="BI5" s="144" t="s">
        <v>6</v>
      </c>
      <c r="BJ5" s="145"/>
      <c r="BK5" s="146"/>
      <c r="BL5" s="50" t="s">
        <v>7</v>
      </c>
    </row>
    <row r="6" spans="1:64" ht="21" thickBot="1">
      <c r="A6" s="147" t="s">
        <v>294</v>
      </c>
      <c r="B6" s="148"/>
      <c r="C6" s="149"/>
      <c r="D6" s="50">
        <v>20810.434782608696</v>
      </c>
      <c r="F6" s="147" t="s">
        <v>294</v>
      </c>
      <c r="G6" s="148"/>
      <c r="H6" s="149"/>
      <c r="I6" s="50">
        <v>16927.826086956524</v>
      </c>
      <c r="K6" s="147" t="s">
        <v>294</v>
      </c>
      <c r="L6" s="148"/>
      <c r="M6" s="149"/>
      <c r="N6" s="50">
        <v>23644.34782608696</v>
      </c>
      <c r="P6" s="147" t="s">
        <v>294</v>
      </c>
      <c r="Q6" s="148"/>
      <c r="R6" s="149"/>
      <c r="S6" s="50">
        <v>19669.878260869566</v>
      </c>
      <c r="U6" s="147" t="s">
        <v>294</v>
      </c>
      <c r="V6" s="148"/>
      <c r="W6" s="149"/>
      <c r="X6" s="50">
        <f>21071.0869565217-4043</f>
        <v>17028.0869565217</v>
      </c>
      <c r="Z6" s="147" t="s">
        <v>294</v>
      </c>
      <c r="AA6" s="148"/>
      <c r="AB6" s="149"/>
      <c r="AC6" s="50">
        <v>15356.521739130436</v>
      </c>
      <c r="AE6" s="147" t="s">
        <v>294</v>
      </c>
      <c r="AF6" s="148"/>
      <c r="AG6" s="149"/>
      <c r="AH6" s="50">
        <v>15900.000000000002</v>
      </c>
      <c r="AJ6" s="147" t="s">
        <v>294</v>
      </c>
      <c r="AK6" s="148"/>
      <c r="AL6" s="149"/>
      <c r="AM6" s="50">
        <v>21756.521739130436</v>
      </c>
      <c r="AO6" s="147" t="s">
        <v>294</v>
      </c>
      <c r="AP6" s="148"/>
      <c r="AQ6" s="149"/>
      <c r="AR6" s="50">
        <v>16031.921739130437</v>
      </c>
      <c r="AT6" s="147" t="s">
        <v>294</v>
      </c>
      <c r="AU6" s="148"/>
      <c r="AV6" s="149"/>
      <c r="AW6" s="50">
        <v>9012.1739130434798</v>
      </c>
      <c r="AY6" s="147" t="s">
        <v>294</v>
      </c>
      <c r="AZ6" s="148"/>
      <c r="BA6" s="149"/>
      <c r="BB6" s="50">
        <v>0</v>
      </c>
      <c r="BD6" s="147" t="s">
        <v>294</v>
      </c>
      <c r="BE6" s="148"/>
      <c r="BF6" s="149"/>
      <c r="BG6" s="50">
        <v>20842.939130434785</v>
      </c>
      <c r="BI6" s="147" t="s">
        <v>294</v>
      </c>
      <c r="BJ6" s="148"/>
      <c r="BK6" s="149"/>
      <c r="BL6" s="50">
        <f>X6+S6+N6+I6+D6+BG6+BB6+AW6+AR6+AM6+AH6+AC6</f>
        <v>196980.652173913</v>
      </c>
    </row>
    <row r="7" spans="1:64" ht="21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12110.65</v>
      </c>
      <c r="K7" s="147" t="s">
        <v>295</v>
      </c>
      <c r="L7" s="148"/>
      <c r="M7" s="149"/>
      <c r="N7" s="50">
        <v>14646.31</v>
      </c>
      <c r="P7" s="147" t="s">
        <v>295</v>
      </c>
      <c r="Q7" s="148"/>
      <c r="R7" s="149"/>
      <c r="S7" s="50">
        <v>2527.5</v>
      </c>
      <c r="U7" s="147" t="s">
        <v>295</v>
      </c>
      <c r="V7" s="148"/>
      <c r="W7" s="149"/>
      <c r="X7" s="50">
        <v>0</v>
      </c>
      <c r="Z7" s="147" t="s">
        <v>295</v>
      </c>
      <c r="AA7" s="148"/>
      <c r="AB7" s="149"/>
      <c r="AC7" s="50">
        <v>0</v>
      </c>
      <c r="AE7" s="147" t="s">
        <v>295</v>
      </c>
      <c r="AF7" s="148"/>
      <c r="AG7" s="149"/>
      <c r="AH7" s="50">
        <v>0</v>
      </c>
      <c r="AJ7" s="147" t="s">
        <v>295</v>
      </c>
      <c r="AK7" s="148"/>
      <c r="AL7" s="149"/>
      <c r="AM7" s="50">
        <v>0</v>
      </c>
      <c r="AO7" s="147" t="s">
        <v>295</v>
      </c>
      <c r="AP7" s="148"/>
      <c r="AQ7" s="149"/>
      <c r="AR7" s="50">
        <v>0</v>
      </c>
      <c r="AT7" s="147" t="s">
        <v>295</v>
      </c>
      <c r="AU7" s="148"/>
      <c r="AV7" s="149"/>
      <c r="AW7" s="50">
        <v>0</v>
      </c>
      <c r="AY7" s="147" t="s">
        <v>295</v>
      </c>
      <c r="AZ7" s="148"/>
      <c r="BA7" s="149"/>
      <c r="BB7" s="50">
        <v>0</v>
      </c>
      <c r="BD7" s="147" t="s">
        <v>295</v>
      </c>
      <c r="BE7" s="148"/>
      <c r="BF7" s="149"/>
      <c r="BG7" s="50">
        <v>0</v>
      </c>
      <c r="BI7" s="147" t="s">
        <v>295</v>
      </c>
      <c r="BJ7" s="148"/>
      <c r="BK7" s="149"/>
      <c r="BL7" s="50">
        <f t="shared" ref="BL7:BL24" si="0">X7+S7+N7+I7+D7+BG7+BB7+AW7+AR7+AM7+AH7+AC7</f>
        <v>29284.46</v>
      </c>
    </row>
    <row r="8" spans="1:64" ht="21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>
        <v>0</v>
      </c>
      <c r="U8" s="147" t="s">
        <v>296</v>
      </c>
      <c r="V8" s="148"/>
      <c r="W8" s="149"/>
      <c r="X8" s="50">
        <v>4043</v>
      </c>
      <c r="Z8" s="147" t="s">
        <v>296</v>
      </c>
      <c r="AA8" s="148"/>
      <c r="AB8" s="149"/>
      <c r="AC8" s="50">
        <v>0</v>
      </c>
      <c r="AE8" s="147" t="s">
        <v>296</v>
      </c>
      <c r="AF8" s="148"/>
      <c r="AG8" s="149"/>
      <c r="AH8" s="50">
        <v>0</v>
      </c>
      <c r="AJ8" s="147" t="s">
        <v>296</v>
      </c>
      <c r="AK8" s="148"/>
      <c r="AL8" s="149"/>
      <c r="AM8" s="50">
        <v>0</v>
      </c>
      <c r="AO8" s="147" t="s">
        <v>296</v>
      </c>
      <c r="AP8" s="148"/>
      <c r="AQ8" s="149"/>
      <c r="AR8" s="50">
        <v>0</v>
      </c>
      <c r="AT8" s="147" t="s">
        <v>296</v>
      </c>
      <c r="AU8" s="148"/>
      <c r="AV8" s="149"/>
      <c r="AW8" s="50">
        <v>0</v>
      </c>
      <c r="AY8" s="147" t="s">
        <v>296</v>
      </c>
      <c r="AZ8" s="148"/>
      <c r="BA8" s="149"/>
      <c r="BB8" s="50">
        <v>0</v>
      </c>
      <c r="BD8" s="147" t="s">
        <v>296</v>
      </c>
      <c r="BE8" s="148"/>
      <c r="BF8" s="149"/>
      <c r="BG8" s="50">
        <v>0</v>
      </c>
      <c r="BI8" s="147" t="s">
        <v>296</v>
      </c>
      <c r="BJ8" s="148"/>
      <c r="BK8" s="149"/>
      <c r="BL8" s="50">
        <f t="shared" si="0"/>
        <v>4043</v>
      </c>
    </row>
    <row r="9" spans="1:64" ht="21" thickBot="1">
      <c r="A9" s="150" t="s">
        <v>9</v>
      </c>
      <c r="B9" s="151"/>
      <c r="C9" s="152"/>
      <c r="D9" s="51">
        <f>SUM(D6:D8)</f>
        <v>20810.434782608696</v>
      </c>
      <c r="F9" s="150" t="s">
        <v>9</v>
      </c>
      <c r="G9" s="151"/>
      <c r="H9" s="152"/>
      <c r="I9" s="51">
        <f>SUM(I6:I8)</f>
        <v>29038.476086956522</v>
      </c>
      <c r="K9" s="150" t="s">
        <v>9</v>
      </c>
      <c r="L9" s="151"/>
      <c r="M9" s="152"/>
      <c r="N9" s="51">
        <f>SUM(N6:N8)</f>
        <v>38290.657826086957</v>
      </c>
      <c r="P9" s="150" t="s">
        <v>9</v>
      </c>
      <c r="Q9" s="151"/>
      <c r="R9" s="152"/>
      <c r="S9" s="51">
        <f>SUM(S6:S8)</f>
        <v>22197.378260869566</v>
      </c>
      <c r="U9" s="150" t="s">
        <v>9</v>
      </c>
      <c r="V9" s="151"/>
      <c r="W9" s="152"/>
      <c r="X9" s="51">
        <f>SUM(X6:X8)</f>
        <v>21071.0869565217</v>
      </c>
      <c r="Z9" s="150" t="s">
        <v>9</v>
      </c>
      <c r="AA9" s="151"/>
      <c r="AB9" s="152"/>
      <c r="AC9" s="51">
        <f>SUM(AC6:AC8)</f>
        <v>15356.521739130436</v>
      </c>
      <c r="AE9" s="150" t="s">
        <v>9</v>
      </c>
      <c r="AF9" s="151"/>
      <c r="AG9" s="152"/>
      <c r="AH9" s="51">
        <f>SUM(AH6:AH8)</f>
        <v>15900.000000000002</v>
      </c>
      <c r="AJ9" s="150" t="s">
        <v>9</v>
      </c>
      <c r="AK9" s="151"/>
      <c r="AL9" s="152"/>
      <c r="AM9" s="51">
        <f>SUM(AM6:AM8)</f>
        <v>21756.521739130436</v>
      </c>
      <c r="AO9" s="150" t="s">
        <v>9</v>
      </c>
      <c r="AP9" s="151"/>
      <c r="AQ9" s="152"/>
      <c r="AR9" s="51">
        <f>SUM(AR6:AR8)</f>
        <v>16031.921739130437</v>
      </c>
      <c r="AT9" s="150" t="s">
        <v>9</v>
      </c>
      <c r="AU9" s="151"/>
      <c r="AV9" s="152"/>
      <c r="AW9" s="51">
        <f>SUM(AW6:AW8)</f>
        <v>9012.1739130434798</v>
      </c>
      <c r="AY9" s="150" t="s">
        <v>9</v>
      </c>
      <c r="AZ9" s="151"/>
      <c r="BA9" s="152"/>
      <c r="BB9" s="51">
        <f>SUM(BB6:BB8)</f>
        <v>0</v>
      </c>
      <c r="BD9" s="150" t="s">
        <v>9</v>
      </c>
      <c r="BE9" s="151"/>
      <c r="BF9" s="152"/>
      <c r="BG9" s="51">
        <f>SUM(BG6:BG8)</f>
        <v>20842.939130434785</v>
      </c>
      <c r="BI9" s="150" t="s">
        <v>9</v>
      </c>
      <c r="BJ9" s="151"/>
      <c r="BK9" s="152"/>
      <c r="BL9" s="51">
        <f t="shared" si="0"/>
        <v>230308.11217391302</v>
      </c>
    </row>
    <row r="10" spans="1:64" ht="21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241.39</v>
      </c>
      <c r="K10" s="147" t="s">
        <v>39</v>
      </c>
      <c r="L10" s="148"/>
      <c r="M10" s="149"/>
      <c r="N10" s="50">
        <v>224</v>
      </c>
      <c r="P10" s="147" t="s">
        <v>39</v>
      </c>
      <c r="Q10" s="148"/>
      <c r="R10" s="149"/>
      <c r="S10" s="50">
        <v>673.42000000000007</v>
      </c>
      <c r="U10" s="147" t="s">
        <v>39</v>
      </c>
      <c r="V10" s="148"/>
      <c r="W10" s="149"/>
      <c r="X10" s="50">
        <v>208.35</v>
      </c>
      <c r="Z10" s="147" t="s">
        <v>39</v>
      </c>
      <c r="AA10" s="148"/>
      <c r="AB10" s="149"/>
      <c r="AC10" s="50">
        <v>153</v>
      </c>
      <c r="AE10" s="147" t="s">
        <v>39</v>
      </c>
      <c r="AF10" s="148"/>
      <c r="AG10" s="149"/>
      <c r="AH10" s="50">
        <v>66</v>
      </c>
      <c r="AJ10" s="147" t="s">
        <v>39</v>
      </c>
      <c r="AK10" s="148"/>
      <c r="AL10" s="149"/>
      <c r="AM10" s="50">
        <v>46</v>
      </c>
      <c r="AO10" s="147" t="s">
        <v>39</v>
      </c>
      <c r="AP10" s="148"/>
      <c r="AQ10" s="149"/>
      <c r="AR10" s="50">
        <v>63.39</v>
      </c>
      <c r="AT10" s="147" t="s">
        <v>39</v>
      </c>
      <c r="AU10" s="148"/>
      <c r="AV10" s="149"/>
      <c r="AW10" s="50">
        <v>46</v>
      </c>
      <c r="AY10" s="147" t="s">
        <v>39</v>
      </c>
      <c r="AZ10" s="148"/>
      <c r="BA10" s="149"/>
      <c r="BB10" s="50">
        <v>46</v>
      </c>
      <c r="BD10" s="147" t="s">
        <v>39</v>
      </c>
      <c r="BE10" s="148"/>
      <c r="BF10" s="149"/>
      <c r="BG10" s="50">
        <v>184</v>
      </c>
      <c r="BI10" s="147" t="s">
        <v>39</v>
      </c>
      <c r="BJ10" s="148"/>
      <c r="BK10" s="149"/>
      <c r="BL10" s="50">
        <f t="shared" si="0"/>
        <v>2135.5500000000002</v>
      </c>
    </row>
    <row r="11" spans="1:64" ht="21" thickBot="1">
      <c r="A11" s="147" t="s">
        <v>40</v>
      </c>
      <c r="B11" s="148"/>
      <c r="C11" s="149"/>
      <c r="D11" s="115">
        <v>0</v>
      </c>
      <c r="F11" s="147" t="s">
        <v>40</v>
      </c>
      <c r="G11" s="148"/>
      <c r="H11" s="149"/>
      <c r="I11" s="115">
        <v>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50">
        <v>0</v>
      </c>
      <c r="U11" s="147" t="s">
        <v>40</v>
      </c>
      <c r="V11" s="148"/>
      <c r="W11" s="149"/>
      <c r="X11" s="50">
        <v>100</v>
      </c>
      <c r="Z11" s="147" t="s">
        <v>40</v>
      </c>
      <c r="AA11" s="148"/>
      <c r="AB11" s="149"/>
      <c r="AC11" s="50">
        <v>0</v>
      </c>
      <c r="AE11" s="147" t="s">
        <v>40</v>
      </c>
      <c r="AF11" s="148"/>
      <c r="AG11" s="149"/>
      <c r="AH11" s="50">
        <v>0</v>
      </c>
      <c r="AJ11" s="147" t="s">
        <v>40</v>
      </c>
      <c r="AK11" s="148"/>
      <c r="AL11" s="149"/>
      <c r="AM11" s="50">
        <v>0</v>
      </c>
      <c r="AO11" s="147" t="s">
        <v>40</v>
      </c>
      <c r="AP11" s="148"/>
      <c r="AQ11" s="149"/>
      <c r="AR11" s="50">
        <v>0</v>
      </c>
      <c r="AT11" s="147" t="s">
        <v>40</v>
      </c>
      <c r="AU11" s="148"/>
      <c r="AV11" s="149"/>
      <c r="AW11" s="50">
        <v>0</v>
      </c>
      <c r="AY11" s="147" t="s">
        <v>40</v>
      </c>
      <c r="AZ11" s="148"/>
      <c r="BA11" s="149"/>
      <c r="BB11" s="50">
        <v>0</v>
      </c>
      <c r="BD11" s="147" t="s">
        <v>40</v>
      </c>
      <c r="BE11" s="148"/>
      <c r="BF11" s="149"/>
      <c r="BG11" s="50">
        <v>0</v>
      </c>
      <c r="BI11" s="147" t="s">
        <v>40</v>
      </c>
      <c r="BJ11" s="148"/>
      <c r="BK11" s="149"/>
      <c r="BL11" s="50">
        <f t="shared" si="0"/>
        <v>100</v>
      </c>
    </row>
    <row r="12" spans="1:64" ht="21" thickBot="1">
      <c r="A12" s="147" t="s">
        <v>41</v>
      </c>
      <c r="B12" s="148"/>
      <c r="C12" s="149"/>
      <c r="D12" s="50">
        <v>138.97757101400001</v>
      </c>
      <c r="F12" s="147" t="s">
        <v>41</v>
      </c>
      <c r="G12" s="148"/>
      <c r="H12" s="149"/>
      <c r="I12" s="50">
        <v>60.893972819999995</v>
      </c>
      <c r="K12" s="147" t="s">
        <v>41</v>
      </c>
      <c r="L12" s="148"/>
      <c r="M12" s="149"/>
      <c r="N12" s="50">
        <v>106.2908213</v>
      </c>
      <c r="P12" s="147" t="s">
        <v>41</v>
      </c>
      <c r="Q12" s="148"/>
      <c r="R12" s="149"/>
      <c r="S12" s="50">
        <v>60.510006146999999</v>
      </c>
      <c r="U12" s="147" t="s">
        <v>41</v>
      </c>
      <c r="V12" s="148"/>
      <c r="W12" s="149"/>
      <c r="X12" s="50">
        <v>161.98007846000002</v>
      </c>
      <c r="Z12" s="147" t="s">
        <v>41</v>
      </c>
      <c r="AA12" s="148"/>
      <c r="AB12" s="149"/>
      <c r="AC12" s="50">
        <v>72.582005687000006</v>
      </c>
      <c r="AE12" s="147" t="s">
        <v>41</v>
      </c>
      <c r="AF12" s="148"/>
      <c r="AG12" s="149"/>
      <c r="AH12" s="50">
        <v>139.78408016999998</v>
      </c>
      <c r="AJ12" s="147" t="s">
        <v>41</v>
      </c>
      <c r="AK12" s="148"/>
      <c r="AL12" s="149"/>
      <c r="AM12" s="50">
        <v>59.984000500999997</v>
      </c>
      <c r="AO12" s="147" t="s">
        <v>41</v>
      </c>
      <c r="AP12" s="148"/>
      <c r="AQ12" s="149"/>
      <c r="AR12" s="50">
        <v>117.394407845</v>
      </c>
      <c r="AT12" s="147" t="s">
        <v>41</v>
      </c>
      <c r="AU12" s="148"/>
      <c r="AV12" s="149"/>
      <c r="AW12" s="50">
        <v>14.453600000000002</v>
      </c>
      <c r="AY12" s="147" t="s">
        <v>41</v>
      </c>
      <c r="AZ12" s="148"/>
      <c r="BA12" s="149"/>
      <c r="BB12" s="50">
        <v>0</v>
      </c>
      <c r="BD12" s="147" t="s">
        <v>41</v>
      </c>
      <c r="BE12" s="148"/>
      <c r="BF12" s="149"/>
      <c r="BG12" s="50">
        <v>105.52999999999999</v>
      </c>
      <c r="BI12" s="147" t="s">
        <v>41</v>
      </c>
      <c r="BJ12" s="148"/>
      <c r="BK12" s="149"/>
      <c r="BL12" s="50">
        <f t="shared" si="0"/>
        <v>1038.380543944</v>
      </c>
    </row>
    <row r="13" spans="1:64" ht="21" thickBot="1">
      <c r="A13" s="147" t="s">
        <v>297</v>
      </c>
      <c r="B13" s="148"/>
      <c r="C13" s="149"/>
      <c r="D13" s="50">
        <v>1302.7199999999998</v>
      </c>
      <c r="F13" s="147" t="s">
        <v>297</v>
      </c>
      <c r="G13" s="148"/>
      <c r="H13" s="149"/>
      <c r="I13" s="50">
        <v>870.87000000000012</v>
      </c>
      <c r="K13" s="147" t="s">
        <v>297</v>
      </c>
      <c r="L13" s="148"/>
      <c r="M13" s="149"/>
      <c r="N13" s="50">
        <v>1656</v>
      </c>
      <c r="P13" s="147" t="s">
        <v>297</v>
      </c>
      <c r="Q13" s="148"/>
      <c r="R13" s="149"/>
      <c r="S13" s="50">
        <v>2457.7010000000005</v>
      </c>
      <c r="U13" s="147" t="s">
        <v>297</v>
      </c>
      <c r="V13" s="148"/>
      <c r="W13" s="149"/>
      <c r="X13" s="50">
        <v>5533.05</v>
      </c>
      <c r="Z13" s="147" t="s">
        <v>297</v>
      </c>
      <c r="AA13" s="148"/>
      <c r="AB13" s="149"/>
      <c r="AC13" s="50">
        <v>260.87</v>
      </c>
      <c r="AE13" s="147" t="s">
        <v>297</v>
      </c>
      <c r="AF13" s="148"/>
      <c r="AG13" s="149"/>
      <c r="AH13" s="50">
        <v>200</v>
      </c>
      <c r="AJ13" s="147" t="s">
        <v>297</v>
      </c>
      <c r="AK13" s="148"/>
      <c r="AL13" s="149"/>
      <c r="AM13" s="50">
        <v>0</v>
      </c>
      <c r="AO13" s="147" t="s">
        <v>297</v>
      </c>
      <c r="AP13" s="148"/>
      <c r="AQ13" s="149"/>
      <c r="AR13" s="50">
        <v>260.87</v>
      </c>
      <c r="AT13" s="147" t="s">
        <v>297</v>
      </c>
      <c r="AU13" s="148"/>
      <c r="AV13" s="149"/>
      <c r="AW13" s="50">
        <v>0</v>
      </c>
      <c r="AY13" s="147" t="s">
        <v>297</v>
      </c>
      <c r="AZ13" s="148"/>
      <c r="BA13" s="149"/>
      <c r="BB13" s="50">
        <v>0</v>
      </c>
      <c r="BD13" s="147" t="s">
        <v>297</v>
      </c>
      <c r="BE13" s="148"/>
      <c r="BF13" s="149"/>
      <c r="BG13" s="50">
        <v>0</v>
      </c>
      <c r="BI13" s="147" t="s">
        <v>297</v>
      </c>
      <c r="BJ13" s="148"/>
      <c r="BK13" s="149"/>
      <c r="BL13" s="50">
        <f t="shared" si="0"/>
        <v>12542.081000000002</v>
      </c>
    </row>
    <row r="14" spans="1:64" ht="21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0</v>
      </c>
      <c r="K14" s="147" t="s">
        <v>43</v>
      </c>
      <c r="L14" s="148"/>
      <c r="M14" s="149"/>
      <c r="N14" s="50">
        <v>875.91399999999999</v>
      </c>
      <c r="P14" s="147" t="s">
        <v>43</v>
      </c>
      <c r="Q14" s="148"/>
      <c r="R14" s="149"/>
      <c r="S14" s="50">
        <v>875.91399999999999</v>
      </c>
      <c r="U14" s="147" t="s">
        <v>43</v>
      </c>
      <c r="V14" s="148"/>
      <c r="W14" s="149"/>
      <c r="X14" s="50">
        <v>875.91</v>
      </c>
      <c r="Z14" s="147" t="s">
        <v>43</v>
      </c>
      <c r="AA14" s="148"/>
      <c r="AB14" s="149"/>
      <c r="AC14" s="50">
        <v>875.91</v>
      </c>
      <c r="AE14" s="147" t="s">
        <v>43</v>
      </c>
      <c r="AF14" s="148"/>
      <c r="AG14" s="149"/>
      <c r="AH14" s="50">
        <v>875.91</v>
      </c>
      <c r="AJ14" s="147" t="s">
        <v>43</v>
      </c>
      <c r="AK14" s="148"/>
      <c r="AL14" s="149"/>
      <c r="AM14" s="50">
        <v>875.91</v>
      </c>
      <c r="AO14" s="147" t="s">
        <v>43</v>
      </c>
      <c r="AP14" s="148"/>
      <c r="AQ14" s="149"/>
      <c r="AR14" s="50">
        <v>875.91</v>
      </c>
      <c r="AT14" s="147" t="s">
        <v>43</v>
      </c>
      <c r="AU14" s="148"/>
      <c r="AV14" s="149"/>
      <c r="AW14" s="50">
        <v>875.91</v>
      </c>
      <c r="AY14" s="147" t="s">
        <v>43</v>
      </c>
      <c r="AZ14" s="148"/>
      <c r="BA14" s="149"/>
      <c r="BB14" s="50">
        <v>875.91</v>
      </c>
      <c r="BD14" s="147" t="s">
        <v>43</v>
      </c>
      <c r="BE14" s="148"/>
      <c r="BF14" s="149"/>
      <c r="BG14" s="50">
        <v>875.91</v>
      </c>
      <c r="BI14" s="147" t="s">
        <v>43</v>
      </c>
      <c r="BJ14" s="148"/>
      <c r="BK14" s="149"/>
      <c r="BL14" s="50">
        <f t="shared" si="0"/>
        <v>8759.1080000000002</v>
      </c>
    </row>
    <row r="15" spans="1:64" ht="21" thickBot="1">
      <c r="A15" s="147" t="s">
        <v>44</v>
      </c>
      <c r="B15" s="148"/>
      <c r="C15" s="149"/>
      <c r="D15" s="50">
        <v>589.14</v>
      </c>
      <c r="F15" s="147" t="s">
        <v>44</v>
      </c>
      <c r="G15" s="148"/>
      <c r="H15" s="149"/>
      <c r="I15" s="50">
        <v>656.08</v>
      </c>
      <c r="K15" s="147" t="s">
        <v>44</v>
      </c>
      <c r="L15" s="148"/>
      <c r="M15" s="149"/>
      <c r="N15" s="50">
        <v>538.04</v>
      </c>
      <c r="P15" s="147" t="s">
        <v>44</v>
      </c>
      <c r="Q15" s="148"/>
      <c r="R15" s="149"/>
      <c r="S15" s="50">
        <v>371.09000928</v>
      </c>
      <c r="U15" s="147" t="s">
        <v>44</v>
      </c>
      <c r="V15" s="148"/>
      <c r="W15" s="149"/>
      <c r="X15" s="50">
        <v>395.22</v>
      </c>
      <c r="Z15" s="147" t="s">
        <v>44</v>
      </c>
      <c r="AA15" s="148"/>
      <c r="AB15" s="149"/>
      <c r="AC15" s="50">
        <v>218.7</v>
      </c>
      <c r="AE15" s="147" t="s">
        <v>44</v>
      </c>
      <c r="AF15" s="148"/>
      <c r="AG15" s="149"/>
      <c r="AH15" s="50">
        <v>120</v>
      </c>
      <c r="AJ15" s="147" t="s">
        <v>44</v>
      </c>
      <c r="AK15" s="148"/>
      <c r="AL15" s="149"/>
      <c r="AM15" s="50">
        <v>229.78999999999996</v>
      </c>
      <c r="AO15" s="147" t="s">
        <v>44</v>
      </c>
      <c r="AP15" s="148"/>
      <c r="AQ15" s="149"/>
      <c r="AR15" s="50">
        <v>120</v>
      </c>
      <c r="AT15" s="147" t="s">
        <v>44</v>
      </c>
      <c r="AU15" s="148"/>
      <c r="AV15" s="149"/>
      <c r="AW15" s="50">
        <v>270</v>
      </c>
      <c r="AY15" s="147" t="s">
        <v>44</v>
      </c>
      <c r="AZ15" s="148"/>
      <c r="BA15" s="149"/>
      <c r="BB15" s="50">
        <v>508.04</v>
      </c>
      <c r="BD15" s="147" t="s">
        <v>44</v>
      </c>
      <c r="BE15" s="148"/>
      <c r="BF15" s="149"/>
      <c r="BG15" s="50">
        <v>240</v>
      </c>
      <c r="BI15" s="147" t="s">
        <v>44</v>
      </c>
      <c r="BJ15" s="148"/>
      <c r="BK15" s="149"/>
      <c r="BL15" s="50">
        <f t="shared" si="0"/>
        <v>4256.1000092799995</v>
      </c>
    </row>
    <row r="16" spans="1:64" ht="21" thickBot="1">
      <c r="A16" s="147" t="s">
        <v>298</v>
      </c>
      <c r="B16" s="148"/>
      <c r="C16" s="149"/>
      <c r="D16" s="115">
        <v>375</v>
      </c>
      <c r="F16" s="147" t="s">
        <v>298</v>
      </c>
      <c r="G16" s="148"/>
      <c r="H16" s="149"/>
      <c r="I16" s="115">
        <v>450</v>
      </c>
      <c r="K16" s="147" t="s">
        <v>298</v>
      </c>
      <c r="L16" s="148"/>
      <c r="M16" s="149"/>
      <c r="N16" s="50">
        <v>0</v>
      </c>
      <c r="P16" s="147" t="s">
        <v>298</v>
      </c>
      <c r="Q16" s="148"/>
      <c r="R16" s="149"/>
      <c r="S16" s="50">
        <v>150</v>
      </c>
      <c r="U16" s="147" t="s">
        <v>298</v>
      </c>
      <c r="V16" s="148"/>
      <c r="W16" s="149"/>
      <c r="X16" s="50">
        <v>75</v>
      </c>
      <c r="Z16" s="147" t="s">
        <v>298</v>
      </c>
      <c r="AA16" s="148"/>
      <c r="AB16" s="149"/>
      <c r="AC16" s="50">
        <v>0</v>
      </c>
      <c r="AE16" s="147" t="s">
        <v>298</v>
      </c>
      <c r="AF16" s="148"/>
      <c r="AG16" s="149"/>
      <c r="AH16" s="50">
        <v>0</v>
      </c>
      <c r="AJ16" s="147" t="s">
        <v>298</v>
      </c>
      <c r="AK16" s="148"/>
      <c r="AL16" s="149"/>
      <c r="AM16" s="50">
        <v>0</v>
      </c>
      <c r="AO16" s="147" t="s">
        <v>298</v>
      </c>
      <c r="AP16" s="148"/>
      <c r="AQ16" s="149"/>
      <c r="AR16" s="50">
        <v>0</v>
      </c>
      <c r="AT16" s="147" t="s">
        <v>298</v>
      </c>
      <c r="AU16" s="148"/>
      <c r="AV16" s="149"/>
      <c r="AW16" s="50">
        <v>0</v>
      </c>
      <c r="AY16" s="147" t="s">
        <v>321</v>
      </c>
      <c r="AZ16" s="148"/>
      <c r="BA16" s="149"/>
      <c r="BB16" s="50">
        <v>1014</v>
      </c>
      <c r="BD16" s="147" t="s">
        <v>298</v>
      </c>
      <c r="BE16" s="148"/>
      <c r="BF16" s="149"/>
      <c r="BG16" s="50">
        <v>0</v>
      </c>
      <c r="BI16" s="147" t="s">
        <v>298</v>
      </c>
      <c r="BJ16" s="148"/>
      <c r="BK16" s="149"/>
      <c r="BL16" s="50">
        <f t="shared" si="0"/>
        <v>2064</v>
      </c>
    </row>
    <row r="17" spans="1:64" ht="21" thickBot="1">
      <c r="A17" s="153" t="s">
        <v>48</v>
      </c>
      <c r="B17" s="154"/>
      <c r="C17" s="155"/>
      <c r="D17" s="52">
        <f>SUM(D10:D16)</f>
        <v>2589.8375710139999</v>
      </c>
      <c r="F17" s="153" t="s">
        <v>48</v>
      </c>
      <c r="G17" s="154"/>
      <c r="H17" s="155"/>
      <c r="I17" s="52">
        <f>SUM(I10:I16)</f>
        <v>2279.23397282</v>
      </c>
      <c r="K17" s="153" t="s">
        <v>48</v>
      </c>
      <c r="L17" s="154"/>
      <c r="M17" s="155"/>
      <c r="N17" s="52">
        <f>SUM(N10:N16)</f>
        <v>3400.2448212999998</v>
      </c>
      <c r="P17" s="153" t="s">
        <v>48</v>
      </c>
      <c r="Q17" s="154"/>
      <c r="R17" s="155"/>
      <c r="S17" s="52">
        <f>SUM(S10:S16)</f>
        <v>4588.6350154270003</v>
      </c>
      <c r="U17" s="153" t="s">
        <v>48</v>
      </c>
      <c r="V17" s="154"/>
      <c r="W17" s="155"/>
      <c r="X17" s="52">
        <f>SUM(X10:X16)</f>
        <v>7349.5100784599999</v>
      </c>
      <c r="Z17" s="153" t="s">
        <v>48</v>
      </c>
      <c r="AA17" s="154"/>
      <c r="AB17" s="155"/>
      <c r="AC17" s="52">
        <f>SUM(AC10:AC16)</f>
        <v>1581.062005687</v>
      </c>
      <c r="AE17" s="153" t="s">
        <v>48</v>
      </c>
      <c r="AF17" s="154"/>
      <c r="AG17" s="155"/>
      <c r="AH17" s="52">
        <f>SUM(AH10:AH16)</f>
        <v>1401.69408017</v>
      </c>
      <c r="AJ17" s="153" t="s">
        <v>48</v>
      </c>
      <c r="AK17" s="154"/>
      <c r="AL17" s="155"/>
      <c r="AM17" s="52">
        <f>SUM(AM10:AM16)</f>
        <v>1211.6840005009999</v>
      </c>
      <c r="AO17" s="153" t="s">
        <v>48</v>
      </c>
      <c r="AP17" s="154"/>
      <c r="AQ17" s="155"/>
      <c r="AR17" s="52">
        <f>SUM(AR10:AR16)</f>
        <v>1437.564407845</v>
      </c>
      <c r="AT17" s="153" t="s">
        <v>48</v>
      </c>
      <c r="AU17" s="154"/>
      <c r="AV17" s="155"/>
      <c r="AW17" s="52">
        <f>SUM(AW10:AW16)</f>
        <v>1206.3636000000001</v>
      </c>
      <c r="AY17" s="153" t="s">
        <v>48</v>
      </c>
      <c r="AZ17" s="154"/>
      <c r="BA17" s="155"/>
      <c r="BB17" s="52">
        <f>SUM(BB10:BB16)</f>
        <v>2443.9499999999998</v>
      </c>
      <c r="BD17" s="153" t="s">
        <v>48</v>
      </c>
      <c r="BE17" s="154"/>
      <c r="BF17" s="155"/>
      <c r="BG17" s="52">
        <f>SUM(BG10:BG16)</f>
        <v>1405.44</v>
      </c>
      <c r="BI17" s="153" t="s">
        <v>48</v>
      </c>
      <c r="BJ17" s="154"/>
      <c r="BK17" s="155"/>
      <c r="BL17" s="52">
        <f t="shared" si="0"/>
        <v>30895.219553223993</v>
      </c>
    </row>
    <row r="18" spans="1:64" ht="21" thickBot="1">
      <c r="A18" s="156" t="s">
        <v>10</v>
      </c>
      <c r="B18" s="157"/>
      <c r="C18" s="158"/>
      <c r="D18" s="53">
        <f>D9-D17</f>
        <v>18220.597211594697</v>
      </c>
      <c r="F18" s="156" t="s">
        <v>10</v>
      </c>
      <c r="G18" s="157"/>
      <c r="H18" s="158"/>
      <c r="I18" s="53">
        <f>I9-I17</f>
        <v>26759.242114136523</v>
      </c>
      <c r="K18" s="156" t="s">
        <v>10</v>
      </c>
      <c r="L18" s="157"/>
      <c r="M18" s="158"/>
      <c r="N18" s="53">
        <f>N9-N17</f>
        <v>34890.413004786955</v>
      </c>
      <c r="P18" s="156" t="s">
        <v>10</v>
      </c>
      <c r="Q18" s="157"/>
      <c r="R18" s="158"/>
      <c r="S18" s="53">
        <f>S9-S17</f>
        <v>17608.743245442565</v>
      </c>
      <c r="U18" s="156" t="s">
        <v>10</v>
      </c>
      <c r="V18" s="157"/>
      <c r="W18" s="158"/>
      <c r="X18" s="53">
        <f>X9-X17</f>
        <v>13721.5768780617</v>
      </c>
      <c r="Z18" s="156" t="s">
        <v>10</v>
      </c>
      <c r="AA18" s="157"/>
      <c r="AB18" s="158"/>
      <c r="AC18" s="53">
        <f>AC9-AC17</f>
        <v>13775.459733443437</v>
      </c>
      <c r="AE18" s="156" t="s">
        <v>10</v>
      </c>
      <c r="AF18" s="157"/>
      <c r="AG18" s="158"/>
      <c r="AH18" s="53">
        <f>AH9-AH17</f>
        <v>14498.305919830002</v>
      </c>
      <c r="AJ18" s="156" t="s">
        <v>10</v>
      </c>
      <c r="AK18" s="157"/>
      <c r="AL18" s="158"/>
      <c r="AM18" s="53">
        <f>AM9-AM17</f>
        <v>20544.837738629438</v>
      </c>
      <c r="AO18" s="156" t="s">
        <v>10</v>
      </c>
      <c r="AP18" s="157"/>
      <c r="AQ18" s="158"/>
      <c r="AR18" s="53">
        <f>AR9-AR17</f>
        <v>14594.357331285437</v>
      </c>
      <c r="AT18" s="156" t="s">
        <v>10</v>
      </c>
      <c r="AU18" s="157"/>
      <c r="AV18" s="158"/>
      <c r="AW18" s="53">
        <f>AW9-AW17</f>
        <v>7805.8103130434793</v>
      </c>
      <c r="AY18" s="156" t="s">
        <v>10</v>
      </c>
      <c r="AZ18" s="157"/>
      <c r="BA18" s="158"/>
      <c r="BB18" s="53">
        <f>BB9-BB17</f>
        <v>-2443.9499999999998</v>
      </c>
      <c r="BD18" s="156" t="s">
        <v>10</v>
      </c>
      <c r="BE18" s="157"/>
      <c r="BF18" s="158"/>
      <c r="BG18" s="53">
        <f>BG9-BG17</f>
        <v>19437.499130434786</v>
      </c>
      <c r="BI18" s="156" t="s">
        <v>10</v>
      </c>
      <c r="BJ18" s="157"/>
      <c r="BK18" s="158"/>
      <c r="BL18" s="53">
        <f t="shared" si="0"/>
        <v>199412.892620689</v>
      </c>
    </row>
    <row r="19" spans="1:64" ht="21" thickBot="1">
      <c r="A19" s="147" t="s">
        <v>20</v>
      </c>
      <c r="B19" s="148"/>
      <c r="C19" s="149"/>
      <c r="D19" s="50">
        <f>D18*0.3</f>
        <v>5466.1791634784086</v>
      </c>
      <c r="F19" s="147" t="s">
        <v>20</v>
      </c>
      <c r="G19" s="148"/>
      <c r="H19" s="149"/>
      <c r="I19" s="50">
        <f>I18*0.3</f>
        <v>8027.7726342409569</v>
      </c>
      <c r="K19" s="147" t="s">
        <v>20</v>
      </c>
      <c r="L19" s="148"/>
      <c r="M19" s="149"/>
      <c r="N19" s="50">
        <f>N18*0.3</f>
        <v>10467.123901436085</v>
      </c>
      <c r="P19" s="147" t="s">
        <v>20</v>
      </c>
      <c r="Q19" s="148"/>
      <c r="R19" s="149"/>
      <c r="S19" s="50">
        <f>S18*0.3</f>
        <v>5282.6229736327696</v>
      </c>
      <c r="U19" s="147" t="s">
        <v>20</v>
      </c>
      <c r="V19" s="148"/>
      <c r="W19" s="149"/>
      <c r="X19" s="50">
        <f>X18*0.3</f>
        <v>4116.4730634185098</v>
      </c>
      <c r="Z19" s="147" t="s">
        <v>20</v>
      </c>
      <c r="AA19" s="148"/>
      <c r="AB19" s="149"/>
      <c r="AC19" s="50">
        <f>AC18*0.3</f>
        <v>4132.6379200330312</v>
      </c>
      <c r="AE19" s="147" t="s">
        <v>20</v>
      </c>
      <c r="AF19" s="148"/>
      <c r="AG19" s="149"/>
      <c r="AH19" s="50">
        <f>AH18*0.3</f>
        <v>4349.4917759489999</v>
      </c>
      <c r="AJ19" s="147" t="s">
        <v>20</v>
      </c>
      <c r="AK19" s="148"/>
      <c r="AL19" s="149"/>
      <c r="AM19" s="50">
        <f>AM18*0.3</f>
        <v>6163.451321588831</v>
      </c>
      <c r="AO19" s="147" t="s">
        <v>20</v>
      </c>
      <c r="AP19" s="148"/>
      <c r="AQ19" s="149"/>
      <c r="AR19" s="50">
        <f>AR18*0.3</f>
        <v>4378.3071993856311</v>
      </c>
      <c r="AT19" s="147" t="s">
        <v>20</v>
      </c>
      <c r="AU19" s="148"/>
      <c r="AV19" s="149"/>
      <c r="AW19" s="50">
        <f>AW18*0.3</f>
        <v>2341.7430939130436</v>
      </c>
      <c r="AY19" s="147"/>
      <c r="AZ19" s="148"/>
      <c r="BA19" s="149"/>
      <c r="BB19" s="50">
        <v>0</v>
      </c>
      <c r="BD19" s="147" t="s">
        <v>20</v>
      </c>
      <c r="BE19" s="148"/>
      <c r="BF19" s="149"/>
      <c r="BG19" s="50">
        <f>BG18*0.3</f>
        <v>5831.249739130436</v>
      </c>
      <c r="BI19" s="147" t="s">
        <v>20</v>
      </c>
      <c r="BJ19" s="148"/>
      <c r="BK19" s="149"/>
      <c r="BL19" s="50">
        <f t="shared" si="0"/>
        <v>60557.052786206703</v>
      </c>
    </row>
    <row r="20" spans="1:64" ht="21" thickBot="1">
      <c r="A20" s="159" t="s">
        <v>21</v>
      </c>
      <c r="B20" s="160"/>
      <c r="C20" s="161"/>
      <c r="D20" s="54">
        <f>D18-D19</f>
        <v>12754.418048116288</v>
      </c>
      <c r="F20" s="159" t="s">
        <v>21</v>
      </c>
      <c r="G20" s="160"/>
      <c r="H20" s="161"/>
      <c r="I20" s="54">
        <f>I18-I19</f>
        <v>18731.469479895568</v>
      </c>
      <c r="K20" s="159" t="s">
        <v>21</v>
      </c>
      <c r="L20" s="160"/>
      <c r="M20" s="161"/>
      <c r="N20" s="54">
        <f>N18-N19</f>
        <v>24423.289103350871</v>
      </c>
      <c r="P20" s="159" t="s">
        <v>21</v>
      </c>
      <c r="Q20" s="160"/>
      <c r="R20" s="161"/>
      <c r="S20" s="54">
        <f>S18-S19</f>
        <v>12326.120271809796</v>
      </c>
      <c r="U20" s="159" t="s">
        <v>21</v>
      </c>
      <c r="V20" s="160"/>
      <c r="W20" s="161"/>
      <c r="X20" s="54">
        <f>X18-X19</f>
        <v>9605.1038146431893</v>
      </c>
      <c r="Z20" s="159" t="s">
        <v>21</v>
      </c>
      <c r="AA20" s="160"/>
      <c r="AB20" s="161"/>
      <c r="AC20" s="54">
        <f>AC18-AC19</f>
        <v>9642.8218134104063</v>
      </c>
      <c r="AE20" s="159" t="s">
        <v>21</v>
      </c>
      <c r="AF20" s="160"/>
      <c r="AG20" s="161"/>
      <c r="AH20" s="54">
        <f>AH18-AH19</f>
        <v>10148.814143881002</v>
      </c>
      <c r="AJ20" s="159" t="s">
        <v>21</v>
      </c>
      <c r="AK20" s="160"/>
      <c r="AL20" s="161"/>
      <c r="AM20" s="54">
        <f>AM18-AM19</f>
        <v>14381.386417040607</v>
      </c>
      <c r="AO20" s="159" t="s">
        <v>21</v>
      </c>
      <c r="AP20" s="160"/>
      <c r="AQ20" s="161"/>
      <c r="AR20" s="54">
        <f>AR18-AR19</f>
        <v>10216.050131899807</v>
      </c>
      <c r="AT20" s="159" t="s">
        <v>21</v>
      </c>
      <c r="AU20" s="160"/>
      <c r="AV20" s="161"/>
      <c r="AW20" s="54">
        <f>AW18-AW19</f>
        <v>5464.0672191304357</v>
      </c>
      <c r="AY20" s="159" t="s">
        <v>320</v>
      </c>
      <c r="AZ20" s="160"/>
      <c r="BA20" s="161"/>
      <c r="BB20" s="54">
        <f>BB18-BB19</f>
        <v>-2443.9499999999998</v>
      </c>
      <c r="BD20" s="159" t="s">
        <v>21</v>
      </c>
      <c r="BE20" s="160"/>
      <c r="BF20" s="161"/>
      <c r="BG20" s="54">
        <f>BG18-BG19</f>
        <v>13606.249391304351</v>
      </c>
      <c r="BI20" s="159" t="s">
        <v>21</v>
      </c>
      <c r="BJ20" s="160"/>
      <c r="BK20" s="161"/>
      <c r="BL20" s="54">
        <f t="shared" si="0"/>
        <v>138855.83983448232</v>
      </c>
    </row>
    <row r="21" spans="1:64" ht="21" thickBot="1">
      <c r="A21" s="147" t="s">
        <v>11</v>
      </c>
      <c r="B21" s="148"/>
      <c r="C21" s="149"/>
      <c r="D21" s="50">
        <v>0</v>
      </c>
      <c r="F21" s="147" t="s">
        <v>11</v>
      </c>
      <c r="G21" s="148"/>
      <c r="H21" s="149"/>
      <c r="I21" s="50">
        <v>0</v>
      </c>
      <c r="K21" s="147" t="s">
        <v>11</v>
      </c>
      <c r="L21" s="148"/>
      <c r="M21" s="149"/>
      <c r="N21" s="50">
        <v>0</v>
      </c>
      <c r="P21" s="147" t="s">
        <v>11</v>
      </c>
      <c r="Q21" s="148"/>
      <c r="R21" s="149"/>
      <c r="S21" s="50">
        <v>0</v>
      </c>
      <c r="U21" s="147" t="s">
        <v>11</v>
      </c>
      <c r="V21" s="148"/>
      <c r="W21" s="149"/>
      <c r="X21" s="50">
        <v>0</v>
      </c>
      <c r="Z21" s="147" t="s">
        <v>11</v>
      </c>
      <c r="AA21" s="148"/>
      <c r="AB21" s="149"/>
      <c r="AC21" s="50">
        <v>0</v>
      </c>
      <c r="AE21" s="147" t="s">
        <v>11</v>
      </c>
      <c r="AF21" s="148"/>
      <c r="AG21" s="149"/>
      <c r="AH21" s="50">
        <v>0</v>
      </c>
      <c r="AJ21" s="147" t="s">
        <v>11</v>
      </c>
      <c r="AK21" s="148"/>
      <c r="AL21" s="149"/>
      <c r="AM21" s="50">
        <v>0</v>
      </c>
      <c r="AO21" s="147" t="s">
        <v>11</v>
      </c>
      <c r="AP21" s="148"/>
      <c r="AQ21" s="149"/>
      <c r="AR21" s="50">
        <v>0</v>
      </c>
      <c r="AT21" s="147" t="s">
        <v>11</v>
      </c>
      <c r="AU21" s="148"/>
      <c r="AV21" s="149"/>
      <c r="AW21" s="50">
        <v>0</v>
      </c>
      <c r="AY21" s="147" t="s">
        <v>11</v>
      </c>
      <c r="AZ21" s="148"/>
      <c r="BA21" s="149"/>
      <c r="BB21" s="50">
        <v>0</v>
      </c>
      <c r="BD21" s="147" t="s">
        <v>11</v>
      </c>
      <c r="BE21" s="148"/>
      <c r="BF21" s="149"/>
      <c r="BG21" s="50">
        <v>0</v>
      </c>
      <c r="BI21" s="147" t="s">
        <v>11</v>
      </c>
      <c r="BJ21" s="148"/>
      <c r="BK21" s="149"/>
      <c r="BL21" s="50">
        <f t="shared" si="0"/>
        <v>0</v>
      </c>
    </row>
    <row r="22" spans="1:64" ht="21" thickBot="1">
      <c r="A22" s="150" t="s">
        <v>12</v>
      </c>
      <c r="B22" s="151"/>
      <c r="C22" s="152"/>
      <c r="D22" s="51">
        <f>D20-D21</f>
        <v>12754.418048116288</v>
      </c>
      <c r="F22" s="150" t="s">
        <v>12</v>
      </c>
      <c r="G22" s="151"/>
      <c r="H22" s="152"/>
      <c r="I22" s="51">
        <f>I20-I21</f>
        <v>18731.469479895568</v>
      </c>
      <c r="K22" s="150" t="s">
        <v>12</v>
      </c>
      <c r="L22" s="151"/>
      <c r="M22" s="152"/>
      <c r="N22" s="51">
        <f>N20-N21</f>
        <v>24423.289103350871</v>
      </c>
      <c r="P22" s="150" t="s">
        <v>12</v>
      </c>
      <c r="Q22" s="151"/>
      <c r="R22" s="152"/>
      <c r="S22" s="51">
        <f>S20-S21</f>
        <v>12326.120271809796</v>
      </c>
      <c r="U22" s="150" t="s">
        <v>12</v>
      </c>
      <c r="V22" s="151"/>
      <c r="W22" s="152"/>
      <c r="X22" s="51">
        <f>X20-X21</f>
        <v>9605.1038146431893</v>
      </c>
      <c r="Z22" s="150" t="s">
        <v>12</v>
      </c>
      <c r="AA22" s="151"/>
      <c r="AB22" s="152"/>
      <c r="AC22" s="51">
        <f>AC20-AC21</f>
        <v>9642.8218134104063</v>
      </c>
      <c r="AE22" s="150" t="s">
        <v>12</v>
      </c>
      <c r="AF22" s="151"/>
      <c r="AG22" s="152"/>
      <c r="AH22" s="51">
        <f>AH20-AH21</f>
        <v>10148.814143881002</v>
      </c>
      <c r="AJ22" s="150" t="s">
        <v>12</v>
      </c>
      <c r="AK22" s="151"/>
      <c r="AL22" s="152"/>
      <c r="AM22" s="51">
        <f>AM20-AM21</f>
        <v>14381.386417040607</v>
      </c>
      <c r="AO22" s="150" t="s">
        <v>12</v>
      </c>
      <c r="AP22" s="151"/>
      <c r="AQ22" s="152"/>
      <c r="AR22" s="51">
        <f>AR20-AR21</f>
        <v>10216.050131899807</v>
      </c>
      <c r="AT22" s="150" t="s">
        <v>12</v>
      </c>
      <c r="AU22" s="151"/>
      <c r="AV22" s="152"/>
      <c r="AW22" s="51">
        <f>AW20-AW21</f>
        <v>5464.0672191304357</v>
      </c>
      <c r="AY22" s="150" t="s">
        <v>12</v>
      </c>
      <c r="AZ22" s="151"/>
      <c r="BA22" s="152"/>
      <c r="BB22" s="51">
        <f>BB20-BB21</f>
        <v>-2443.9499999999998</v>
      </c>
      <c r="BD22" s="150" t="s">
        <v>12</v>
      </c>
      <c r="BE22" s="151"/>
      <c r="BF22" s="152"/>
      <c r="BG22" s="51">
        <f>BG20-BG21</f>
        <v>13606.249391304351</v>
      </c>
      <c r="BI22" s="150" t="s">
        <v>12</v>
      </c>
      <c r="BJ22" s="151"/>
      <c r="BK22" s="152"/>
      <c r="BL22" s="51">
        <f t="shared" si="0"/>
        <v>138855.83983448232</v>
      </c>
    </row>
    <row r="23" spans="1:64" ht="21" thickBot="1">
      <c r="A23" s="150" t="s">
        <v>299</v>
      </c>
      <c r="B23" s="151" t="s">
        <v>299</v>
      </c>
      <c r="C23" s="152"/>
      <c r="D23" s="51">
        <v>7572</v>
      </c>
      <c r="F23" s="150" t="s">
        <v>299</v>
      </c>
      <c r="G23" s="151" t="s">
        <v>299</v>
      </c>
      <c r="H23" s="152"/>
      <c r="I23" s="51">
        <v>11313</v>
      </c>
      <c r="K23" s="150" t="s">
        <v>299</v>
      </c>
      <c r="L23" s="151" t="s">
        <v>299</v>
      </c>
      <c r="M23" s="152"/>
      <c r="N23" s="51">
        <v>9837</v>
      </c>
      <c r="P23" s="150" t="s">
        <v>299</v>
      </c>
      <c r="Q23" s="151" t="s">
        <v>299</v>
      </c>
      <c r="R23" s="152"/>
      <c r="S23" s="51">
        <v>11238</v>
      </c>
      <c r="U23" s="150" t="s">
        <v>299</v>
      </c>
      <c r="V23" s="151" t="s">
        <v>299</v>
      </c>
      <c r="W23" s="152"/>
      <c r="X23" s="51">
        <v>747</v>
      </c>
      <c r="Z23" s="150" t="s">
        <v>299</v>
      </c>
      <c r="AA23" s="151" t="s">
        <v>299</v>
      </c>
      <c r="AB23" s="152"/>
      <c r="AC23" s="51">
        <v>0</v>
      </c>
      <c r="AE23" s="150" t="s">
        <v>299</v>
      </c>
      <c r="AF23" s="151" t="s">
        <v>299</v>
      </c>
      <c r="AG23" s="152"/>
      <c r="AH23" s="51">
        <v>0</v>
      </c>
      <c r="AJ23" s="150" t="s">
        <v>299</v>
      </c>
      <c r="AK23" s="151" t="s">
        <v>299</v>
      </c>
      <c r="AL23" s="152"/>
      <c r="AM23" s="51">
        <v>0</v>
      </c>
      <c r="AO23" s="150" t="s">
        <v>299</v>
      </c>
      <c r="AP23" s="151" t="s">
        <v>299</v>
      </c>
      <c r="AQ23" s="152"/>
      <c r="AR23" s="51">
        <v>0</v>
      </c>
      <c r="AT23" s="150" t="s">
        <v>299</v>
      </c>
      <c r="AU23" s="151" t="s">
        <v>299</v>
      </c>
      <c r="AV23" s="152"/>
      <c r="AW23" s="51">
        <v>0</v>
      </c>
      <c r="AY23" s="150" t="s">
        <v>299</v>
      </c>
      <c r="AZ23" s="151" t="s">
        <v>299</v>
      </c>
      <c r="BA23" s="152"/>
      <c r="BB23" s="51">
        <v>0</v>
      </c>
      <c r="BD23" s="150" t="s">
        <v>299</v>
      </c>
      <c r="BE23" s="151" t="s">
        <v>299</v>
      </c>
      <c r="BF23" s="152"/>
      <c r="BG23" s="51">
        <v>0</v>
      </c>
      <c r="BI23" s="150" t="s">
        <v>299</v>
      </c>
      <c r="BJ23" s="151" t="s">
        <v>299</v>
      </c>
      <c r="BK23" s="152"/>
      <c r="BL23" s="51">
        <f t="shared" si="0"/>
        <v>40707</v>
      </c>
    </row>
    <row r="24" spans="1:64" ht="21" thickBot="1">
      <c r="A24" s="150" t="s">
        <v>300</v>
      </c>
      <c r="B24" s="151" t="s">
        <v>300</v>
      </c>
      <c r="C24" s="152"/>
      <c r="D24" s="51">
        <f>SUM(D22:D23)</f>
        <v>20326.418048116288</v>
      </c>
      <c r="F24" s="150" t="s">
        <v>300</v>
      </c>
      <c r="G24" s="151" t="s">
        <v>300</v>
      </c>
      <c r="H24" s="152"/>
      <c r="I24" s="51">
        <f>SUM(I22:I23)</f>
        <v>30044.469479895568</v>
      </c>
      <c r="K24" s="150" t="s">
        <v>300</v>
      </c>
      <c r="L24" s="151" t="s">
        <v>300</v>
      </c>
      <c r="M24" s="152"/>
      <c r="N24" s="51">
        <f>SUM(N22:N23)</f>
        <v>34260.289103350871</v>
      </c>
      <c r="P24" s="150" t="s">
        <v>300</v>
      </c>
      <c r="Q24" s="151" t="s">
        <v>300</v>
      </c>
      <c r="R24" s="152"/>
      <c r="S24" s="51">
        <f>SUM(S22:S23)</f>
        <v>23564.120271809796</v>
      </c>
      <c r="U24" s="150" t="s">
        <v>300</v>
      </c>
      <c r="V24" s="151" t="s">
        <v>300</v>
      </c>
      <c r="W24" s="152"/>
      <c r="X24" s="51">
        <f>SUM(X22:X23)</f>
        <v>10352.103814643189</v>
      </c>
      <c r="Z24" s="150" t="s">
        <v>300</v>
      </c>
      <c r="AA24" s="151" t="s">
        <v>300</v>
      </c>
      <c r="AB24" s="152"/>
      <c r="AC24" s="51">
        <f>SUM(AC22:AC23)</f>
        <v>9642.8218134104063</v>
      </c>
      <c r="AE24" s="150" t="s">
        <v>300</v>
      </c>
      <c r="AF24" s="151" t="s">
        <v>300</v>
      </c>
      <c r="AG24" s="152"/>
      <c r="AH24" s="51">
        <f>SUM(AH22:AH23)</f>
        <v>10148.814143881002</v>
      </c>
      <c r="AJ24" s="150" t="s">
        <v>300</v>
      </c>
      <c r="AK24" s="151" t="s">
        <v>300</v>
      </c>
      <c r="AL24" s="152"/>
      <c r="AM24" s="51">
        <f>SUM(AM22:AM23)</f>
        <v>14381.386417040607</v>
      </c>
      <c r="AO24" s="150" t="s">
        <v>300</v>
      </c>
      <c r="AP24" s="151" t="s">
        <v>300</v>
      </c>
      <c r="AQ24" s="152"/>
      <c r="AR24" s="51">
        <f>SUM(AR22:AR23)</f>
        <v>10216.050131899807</v>
      </c>
      <c r="AT24" s="150" t="s">
        <v>300</v>
      </c>
      <c r="AU24" s="151" t="s">
        <v>300</v>
      </c>
      <c r="AV24" s="152"/>
      <c r="AW24" s="51">
        <f>SUM(AW22:AW23)</f>
        <v>5464.0672191304357</v>
      </c>
      <c r="AY24" s="150" t="s">
        <v>300</v>
      </c>
      <c r="AZ24" s="151" t="s">
        <v>300</v>
      </c>
      <c r="BA24" s="152"/>
      <c r="BB24" s="51">
        <f>SUM(BB22:BB23)</f>
        <v>-2443.9499999999998</v>
      </c>
      <c r="BD24" s="150" t="s">
        <v>300</v>
      </c>
      <c r="BE24" s="151" t="s">
        <v>300</v>
      </c>
      <c r="BF24" s="152"/>
      <c r="BG24" s="51">
        <f>SUM(BG22:BG23)</f>
        <v>13606.249391304351</v>
      </c>
      <c r="BI24" s="150" t="s">
        <v>300</v>
      </c>
      <c r="BJ24" s="151" t="s">
        <v>300</v>
      </c>
      <c r="BK24" s="152"/>
      <c r="BL24" s="51">
        <f t="shared" si="0"/>
        <v>179562.83983448235</v>
      </c>
    </row>
    <row r="25" spans="1:64" ht="21" thickBot="1">
      <c r="A25" s="150" t="s">
        <v>24</v>
      </c>
      <c r="B25" s="151" t="s">
        <v>300</v>
      </c>
      <c r="C25" s="152"/>
      <c r="D25" s="16" t="s">
        <v>7</v>
      </c>
      <c r="F25" s="12" t="s">
        <v>24</v>
      </c>
      <c r="G25" s="4"/>
      <c r="H25" s="4"/>
      <c r="I25" s="5"/>
      <c r="U25" s="24" t="s">
        <v>93</v>
      </c>
      <c r="V25" s="100">
        <v>2021</v>
      </c>
      <c r="W25" s="26">
        <v>401014401017416</v>
      </c>
      <c r="X25" s="78">
        <v>9425.98</v>
      </c>
      <c r="AA25" s="2" t="s">
        <v>311</v>
      </c>
      <c r="AC25" s="2">
        <v>50571</v>
      </c>
      <c r="AF25" s="2" t="s">
        <v>311</v>
      </c>
      <c r="AH25" s="2">
        <v>52066</v>
      </c>
      <c r="AK25" s="2" t="s">
        <v>311</v>
      </c>
      <c r="AM25" s="2">
        <v>66361</v>
      </c>
      <c r="AP25" s="2" t="s">
        <v>311</v>
      </c>
      <c r="AR25" s="2">
        <v>65708</v>
      </c>
      <c r="AT25" s="126" t="s">
        <v>328</v>
      </c>
      <c r="AV25" s="2" t="s">
        <v>311</v>
      </c>
      <c r="AW25" s="2">
        <v>65708</v>
      </c>
      <c r="AZ25" s="2" t="s">
        <v>311</v>
      </c>
      <c r="BB25" s="2">
        <v>65708</v>
      </c>
      <c r="BE25" s="2" t="s">
        <v>311</v>
      </c>
      <c r="BG25" s="2">
        <v>54126</v>
      </c>
      <c r="BI25" s="119" t="s">
        <v>312</v>
      </c>
      <c r="BJ25" s="120">
        <f>BG25+BB25+AW25+AR25+AM25+AH25+AC25</f>
        <v>420248</v>
      </c>
      <c r="BK25" s="108" t="s">
        <v>303</v>
      </c>
      <c r="BL25" s="108">
        <v>75000</v>
      </c>
    </row>
    <row r="26" spans="1:64" ht="24.75" thickBot="1">
      <c r="A26" s="24" t="s">
        <v>92</v>
      </c>
      <c r="B26" s="100">
        <v>2022</v>
      </c>
      <c r="C26" s="86" t="s">
        <v>65</v>
      </c>
      <c r="D26" s="78">
        <v>200</v>
      </c>
      <c r="F26" s="15" t="s">
        <v>13</v>
      </c>
      <c r="G26" s="15" t="s">
        <v>14</v>
      </c>
      <c r="H26" s="15" t="s">
        <v>15</v>
      </c>
      <c r="I26" s="16" t="s">
        <v>16</v>
      </c>
      <c r="U26" s="24" t="s">
        <v>94</v>
      </c>
      <c r="V26" s="25">
        <v>45224</v>
      </c>
      <c r="W26" s="26">
        <v>401014501683998</v>
      </c>
      <c r="X26" s="78">
        <v>10509.37</v>
      </c>
      <c r="Z26" s="29"/>
      <c r="AA26" s="29"/>
      <c r="AB26" s="29"/>
      <c r="AC26" s="30"/>
      <c r="AE26" s="29"/>
      <c r="AF26" s="29"/>
      <c r="AG26" s="29"/>
      <c r="AH26" s="30"/>
      <c r="AT26" s="24" t="s">
        <v>13</v>
      </c>
      <c r="AU26" s="25" t="s">
        <v>29</v>
      </c>
      <c r="AV26" s="26" t="s">
        <v>330</v>
      </c>
      <c r="AW26" s="78" t="s">
        <v>7</v>
      </c>
      <c r="BK26" s="109" t="s">
        <v>314</v>
      </c>
      <c r="BL26" s="110">
        <f>BL25+BL24</f>
        <v>254562.83983448235</v>
      </c>
    </row>
    <row r="27" spans="1:64" ht="24">
      <c r="A27" s="24" t="s">
        <v>269</v>
      </c>
      <c r="B27" s="100">
        <v>2023</v>
      </c>
      <c r="C27" s="86" t="s">
        <v>65</v>
      </c>
      <c r="D27" s="83">
        <v>103.48</v>
      </c>
      <c r="F27" s="24" t="s">
        <v>277</v>
      </c>
      <c r="G27" s="25">
        <v>45477</v>
      </c>
      <c r="H27" s="26">
        <v>401014502217025</v>
      </c>
      <c r="I27" s="78">
        <v>5820</v>
      </c>
      <c r="U27" s="182" t="s">
        <v>55</v>
      </c>
      <c r="V27" s="183"/>
      <c r="W27" s="184"/>
      <c r="X27" s="78">
        <f>SUM(X25:X26)</f>
        <v>19935.349999999999</v>
      </c>
      <c r="Z27" s="29"/>
      <c r="AA27" s="29"/>
      <c r="AB27" s="29"/>
      <c r="AC27" s="30"/>
      <c r="AE27" s="29"/>
      <c r="AF27" s="29"/>
      <c r="AG27" s="29"/>
      <c r="AH27" s="30"/>
      <c r="AT27" s="24" t="s">
        <v>329</v>
      </c>
      <c r="AU27" s="127">
        <v>45556</v>
      </c>
      <c r="AV27" s="26">
        <v>401014602436109</v>
      </c>
      <c r="AW27" s="78">
        <v>4420</v>
      </c>
      <c r="BK27" s="124" t="s">
        <v>313</v>
      </c>
      <c r="BL27" s="118">
        <f>BJ25-BL26</f>
        <v>165685.16016551765</v>
      </c>
    </row>
    <row r="28" spans="1:64" ht="24" customHeight="1">
      <c r="A28" s="92" t="s">
        <v>55</v>
      </c>
      <c r="B28" s="93"/>
      <c r="C28" s="94"/>
      <c r="D28" s="83">
        <f>SUM(D26:D27)</f>
        <v>303.48</v>
      </c>
      <c r="AT28" s="92" t="s">
        <v>55</v>
      </c>
      <c r="AU28" s="93"/>
      <c r="AV28" s="94"/>
      <c r="AW28" s="78">
        <f>AW27</f>
        <v>4420</v>
      </c>
      <c r="BK28" s="1" t="s">
        <v>331</v>
      </c>
      <c r="BL28" s="128">
        <f>75000+50000</f>
        <v>125000</v>
      </c>
    </row>
    <row r="29" spans="1:64" ht="25.5" customHeight="1">
      <c r="BK29" s="1" t="s">
        <v>332</v>
      </c>
      <c r="BL29" s="129">
        <f>BL27-BL28</f>
        <v>40685.160165517649</v>
      </c>
    </row>
    <row r="30" spans="1:64" ht="25.5" customHeight="1">
      <c r="BL30" s="130">
        <f>BL27-BL28-BL29</f>
        <v>0</v>
      </c>
    </row>
    <row r="31" spans="1:64" ht="25.5" customHeight="1"/>
    <row r="55" spans="26:34">
      <c r="Z55" s="29"/>
      <c r="AA55" s="29"/>
      <c r="AB55" s="29"/>
      <c r="AC55" s="31"/>
      <c r="AE55" s="29"/>
      <c r="AF55" s="29"/>
      <c r="AG55" s="29"/>
      <c r="AH55" s="31"/>
    </row>
    <row r="56" spans="26:34">
      <c r="Z56" s="29"/>
      <c r="AA56" s="29"/>
      <c r="AB56" s="29"/>
      <c r="AC56" s="31"/>
      <c r="AE56" s="29"/>
      <c r="AF56" s="29"/>
      <c r="AG56" s="29"/>
      <c r="AH56" s="31"/>
    </row>
    <row r="57" spans="26:34">
      <c r="Z57" s="29"/>
      <c r="AA57" s="29"/>
      <c r="AB57" s="29"/>
      <c r="AC57" s="31"/>
      <c r="AE57" s="29"/>
      <c r="AF57" s="29"/>
      <c r="AG57" s="29"/>
      <c r="AH57" s="31"/>
    </row>
    <row r="58" spans="26:34">
      <c r="Z58" s="29"/>
      <c r="AA58" s="29"/>
      <c r="AB58" s="29"/>
      <c r="AC58" s="31"/>
      <c r="AE58" s="29"/>
      <c r="AF58" s="29"/>
      <c r="AG58" s="29"/>
      <c r="AH58" s="31"/>
    </row>
    <row r="59" spans="26:34">
      <c r="Z59" s="29"/>
      <c r="AA59" s="29"/>
      <c r="AB59" s="29"/>
      <c r="AC59" s="31"/>
      <c r="AE59" s="29"/>
      <c r="AF59" s="29"/>
      <c r="AG59" s="29"/>
      <c r="AH59" s="31"/>
    </row>
    <row r="60" spans="26:34">
      <c r="Z60" s="29"/>
      <c r="AA60" s="29"/>
      <c r="AB60" s="29"/>
      <c r="AC60" s="31"/>
      <c r="AE60" s="29"/>
      <c r="AF60" s="29"/>
      <c r="AG60" s="29"/>
      <c r="AH60" s="31"/>
    </row>
    <row r="61" spans="26:34">
      <c r="Z61" s="29"/>
      <c r="AA61" s="29"/>
      <c r="AB61" s="29"/>
      <c r="AC61" s="31"/>
      <c r="AE61" s="29"/>
      <c r="AF61" s="29"/>
      <c r="AG61" s="29"/>
      <c r="AH61" s="31"/>
    </row>
    <row r="62" spans="26:34">
      <c r="Z62" s="29"/>
      <c r="AA62" s="29"/>
      <c r="AB62" s="29"/>
      <c r="AC62" s="31"/>
      <c r="AE62" s="29"/>
      <c r="AF62" s="29"/>
      <c r="AG62" s="29"/>
      <c r="AH62" s="31"/>
    </row>
    <row r="63" spans="26:34">
      <c r="Z63" s="29"/>
      <c r="AA63" s="29"/>
      <c r="AB63" s="29"/>
      <c r="AC63" s="31"/>
      <c r="AE63" s="29"/>
      <c r="AF63" s="29"/>
      <c r="AG63" s="29"/>
      <c r="AH63" s="31"/>
    </row>
    <row r="64" spans="26:34">
      <c r="Z64" s="29"/>
      <c r="AA64" s="29"/>
      <c r="AB64" s="29"/>
      <c r="AC64" s="31"/>
      <c r="AE64" s="29"/>
      <c r="AF64" s="29"/>
      <c r="AG64" s="29"/>
      <c r="AH64" s="31"/>
    </row>
    <row r="65" spans="26:34">
      <c r="Z65" s="29"/>
      <c r="AA65" s="29"/>
      <c r="AB65" s="29"/>
      <c r="AC65" s="31"/>
      <c r="AE65" s="29"/>
      <c r="AF65" s="29"/>
      <c r="AG65" s="29"/>
      <c r="AH65" s="31"/>
    </row>
    <row r="66" spans="26:34">
      <c r="Z66" s="29"/>
      <c r="AA66" s="29"/>
      <c r="AB66" s="29"/>
      <c r="AC66" s="31"/>
      <c r="AE66" s="29"/>
      <c r="AF66" s="29"/>
      <c r="AG66" s="29"/>
      <c r="AH66" s="31"/>
    </row>
    <row r="67" spans="26:34">
      <c r="Z67" s="29"/>
      <c r="AA67" s="29"/>
      <c r="AB67" s="29"/>
      <c r="AC67" s="31"/>
      <c r="AE67" s="29"/>
      <c r="AF67" s="29"/>
      <c r="AG67" s="29"/>
      <c r="AH67" s="31"/>
    </row>
    <row r="68" spans="26:34">
      <c r="Z68" s="29"/>
      <c r="AA68" s="29"/>
      <c r="AB68" s="29"/>
      <c r="AC68" s="31"/>
      <c r="AE68" s="29"/>
      <c r="AF68" s="29"/>
      <c r="AG68" s="29"/>
      <c r="AH68" s="31"/>
    </row>
    <row r="69" spans="26:34">
      <c r="Z69" s="29"/>
      <c r="AA69" s="29"/>
      <c r="AB69" s="29"/>
      <c r="AC69" s="31"/>
      <c r="AE69" s="29"/>
      <c r="AF69" s="29"/>
      <c r="AG69" s="29"/>
      <c r="AH69" s="31"/>
    </row>
    <row r="70" spans="26:34">
      <c r="Z70" s="29"/>
      <c r="AA70" s="29"/>
      <c r="AB70" s="29"/>
      <c r="AC70" s="31"/>
      <c r="AE70" s="29"/>
      <c r="AF70" s="29"/>
      <c r="AG70" s="29"/>
      <c r="AH70" s="31"/>
    </row>
    <row r="71" spans="26:34">
      <c r="Z71" s="29"/>
      <c r="AA71" s="29"/>
      <c r="AB71" s="29"/>
      <c r="AC71" s="31"/>
      <c r="AE71" s="29"/>
      <c r="AF71" s="29"/>
      <c r="AG71" s="29"/>
      <c r="AH71" s="31"/>
    </row>
    <row r="72" spans="26:34">
      <c r="Z72" s="29"/>
      <c r="AA72" s="29"/>
      <c r="AB72" s="29"/>
      <c r="AC72" s="31"/>
      <c r="AE72" s="29"/>
      <c r="AF72" s="29"/>
      <c r="AG72" s="29"/>
      <c r="AH72" s="31"/>
    </row>
    <row r="73" spans="26:34">
      <c r="Z73" s="29"/>
      <c r="AA73" s="29"/>
      <c r="AB73" s="29"/>
      <c r="AC73" s="31"/>
      <c r="AE73" s="29"/>
      <c r="AF73" s="29"/>
      <c r="AG73" s="29"/>
      <c r="AH73" s="31"/>
    </row>
    <row r="74" spans="26:34">
      <c r="Z74" s="29"/>
      <c r="AA74" s="29"/>
      <c r="AB74" s="29"/>
      <c r="AC74" s="31"/>
      <c r="AE74" s="29"/>
      <c r="AF74" s="29"/>
      <c r="AG74" s="29"/>
      <c r="AH74" s="31"/>
    </row>
    <row r="75" spans="26:34">
      <c r="Z75" s="29"/>
      <c r="AA75" s="29"/>
      <c r="AB75" s="29"/>
      <c r="AC75" s="31"/>
      <c r="AE75" s="29"/>
      <c r="AF75" s="29"/>
      <c r="AG75" s="29"/>
      <c r="AH75" s="31"/>
    </row>
    <row r="76" spans="26:34">
      <c r="Z76" s="29"/>
      <c r="AA76" s="29"/>
      <c r="AB76" s="29"/>
      <c r="AC76" s="31"/>
      <c r="AE76" s="29"/>
      <c r="AF76" s="29"/>
      <c r="AG76" s="29"/>
      <c r="AH76" s="31"/>
    </row>
    <row r="77" spans="26:34">
      <c r="Z77" s="29"/>
      <c r="AA77" s="29"/>
      <c r="AB77" s="29"/>
      <c r="AC77" s="31"/>
      <c r="AE77" s="29"/>
      <c r="AF77" s="29"/>
      <c r="AG77" s="29"/>
      <c r="AH77" s="31"/>
    </row>
    <row r="78" spans="26:34">
      <c r="Z78" s="29"/>
      <c r="AA78" s="29"/>
      <c r="AB78" s="29"/>
      <c r="AC78" s="31"/>
      <c r="AE78" s="29"/>
      <c r="AF78" s="29"/>
      <c r="AG78" s="29"/>
      <c r="AH78" s="31"/>
    </row>
    <row r="79" spans="26:34">
      <c r="Z79" s="29"/>
      <c r="AA79" s="29"/>
      <c r="AB79" s="29"/>
      <c r="AC79" s="31"/>
      <c r="AE79" s="29"/>
      <c r="AF79" s="29"/>
      <c r="AG79" s="29"/>
      <c r="AH79" s="31"/>
    </row>
    <row r="80" spans="26:34">
      <c r="Z80" s="29"/>
      <c r="AA80" s="29"/>
      <c r="AB80" s="29"/>
      <c r="AC80" s="31"/>
      <c r="AE80" s="29"/>
      <c r="AF80" s="29"/>
      <c r="AG80" s="29"/>
      <c r="AH80" s="31"/>
    </row>
    <row r="81" spans="26:34">
      <c r="Z81" s="29"/>
      <c r="AA81" s="29"/>
      <c r="AB81" s="29"/>
      <c r="AC81" s="31"/>
      <c r="AE81" s="29"/>
      <c r="AF81" s="29"/>
      <c r="AG81" s="29"/>
      <c r="AH81" s="31"/>
    </row>
    <row r="82" spans="26:34">
      <c r="Z82" s="29"/>
      <c r="AA82" s="29"/>
      <c r="AB82" s="29"/>
      <c r="AC82" s="31"/>
      <c r="AE82" s="29"/>
      <c r="AF82" s="29"/>
      <c r="AG82" s="29"/>
      <c r="AH82" s="31"/>
    </row>
    <row r="83" spans="26:34">
      <c r="Z83" s="29"/>
      <c r="AA83" s="29"/>
      <c r="AB83" s="29"/>
      <c r="AC83" s="31"/>
      <c r="AE83" s="29"/>
      <c r="AF83" s="29"/>
      <c r="AG83" s="29"/>
      <c r="AH83" s="31"/>
    </row>
    <row r="84" spans="26:34">
      <c r="Z84" s="29"/>
      <c r="AA84" s="29"/>
      <c r="AB84" s="29"/>
      <c r="AC84" s="31"/>
      <c r="AE84" s="29"/>
      <c r="AF84" s="29"/>
      <c r="AG84" s="29"/>
      <c r="AH84" s="31"/>
    </row>
    <row r="85" spans="26:34">
      <c r="Z85" s="29"/>
      <c r="AA85" s="29"/>
      <c r="AB85" s="29"/>
      <c r="AC85" s="31"/>
      <c r="AE85" s="29"/>
      <c r="AF85" s="29"/>
      <c r="AG85" s="29"/>
      <c r="AH85" s="31"/>
    </row>
    <row r="86" spans="26:34">
      <c r="Z86" s="29"/>
      <c r="AA86" s="29"/>
      <c r="AB86" s="29"/>
      <c r="AC86" s="31"/>
      <c r="AE86" s="29"/>
      <c r="AF86" s="29"/>
      <c r="AG86" s="29"/>
      <c r="AH86" s="31"/>
    </row>
    <row r="87" spans="26:34">
      <c r="Z87" s="29"/>
      <c r="AA87" s="29"/>
      <c r="AB87" s="29"/>
      <c r="AC87" s="31"/>
      <c r="AE87" s="29"/>
      <c r="AF87" s="29"/>
      <c r="AG87" s="29"/>
      <c r="AH87" s="31"/>
    </row>
    <row r="88" spans="26:34">
      <c r="Z88" s="29"/>
      <c r="AA88" s="29"/>
      <c r="AB88" s="29"/>
      <c r="AC88" s="31"/>
      <c r="AE88" s="29"/>
      <c r="AF88" s="29"/>
      <c r="AG88" s="29"/>
      <c r="AH88" s="31"/>
    </row>
    <row r="89" spans="26:34">
      <c r="Z89" s="29"/>
      <c r="AA89" s="29"/>
      <c r="AB89" s="29"/>
      <c r="AC89" s="31"/>
      <c r="AE89" s="29"/>
      <c r="AF89" s="29"/>
      <c r="AG89" s="29"/>
      <c r="AH89" s="31"/>
    </row>
    <row r="90" spans="26:34">
      <c r="Z90" s="29"/>
      <c r="AA90" s="29"/>
      <c r="AB90" s="29"/>
      <c r="AC90" s="31"/>
      <c r="AE90" s="29"/>
      <c r="AF90" s="29"/>
      <c r="AG90" s="29"/>
      <c r="AH90" s="31"/>
    </row>
    <row r="91" spans="26:34">
      <c r="Z91" s="29"/>
      <c r="AA91" s="29"/>
      <c r="AB91" s="29"/>
      <c r="AC91" s="31"/>
      <c r="AE91" s="29"/>
      <c r="AF91" s="29"/>
      <c r="AG91" s="29"/>
      <c r="AH91" s="31"/>
    </row>
    <row r="92" spans="26:34">
      <c r="Z92" s="29"/>
      <c r="AA92" s="29"/>
      <c r="AB92" s="29"/>
      <c r="AC92" s="31"/>
      <c r="AE92" s="29"/>
      <c r="AF92" s="29"/>
      <c r="AG92" s="29"/>
      <c r="AH92" s="31"/>
    </row>
    <row r="93" spans="26:34">
      <c r="Z93" s="29"/>
      <c r="AA93" s="29"/>
      <c r="AB93" s="29"/>
      <c r="AC93" s="31"/>
      <c r="AE93" s="29"/>
      <c r="AF93" s="29"/>
      <c r="AG93" s="29"/>
      <c r="AH93" s="31"/>
    </row>
    <row r="94" spans="26:34">
      <c r="Z94" s="29"/>
      <c r="AA94" s="29"/>
      <c r="AB94" s="29"/>
      <c r="AC94" s="31"/>
      <c r="AE94" s="29"/>
      <c r="AF94" s="29"/>
      <c r="AG94" s="29"/>
      <c r="AH94" s="31"/>
    </row>
    <row r="95" spans="26:34">
      <c r="Z95" s="29"/>
      <c r="AA95" s="29"/>
      <c r="AB95" s="29"/>
      <c r="AC95" s="31"/>
      <c r="AE95" s="29"/>
      <c r="AF95" s="29"/>
      <c r="AG95" s="29"/>
      <c r="AH95" s="31"/>
    </row>
    <row r="96" spans="26:34">
      <c r="Z96" s="29"/>
      <c r="AA96" s="29"/>
      <c r="AB96" s="29"/>
      <c r="AC96" s="31"/>
      <c r="AE96" s="29"/>
      <c r="AF96" s="29"/>
      <c r="AG96" s="29"/>
      <c r="AH96" s="31"/>
    </row>
    <row r="97" spans="26:34">
      <c r="Z97" s="29"/>
      <c r="AA97" s="29"/>
      <c r="AB97" s="29"/>
      <c r="AC97" s="31"/>
      <c r="AE97" s="29"/>
      <c r="AF97" s="29"/>
      <c r="AG97" s="29"/>
      <c r="AH97" s="31"/>
    </row>
    <row r="98" spans="26:34">
      <c r="Z98" s="29"/>
      <c r="AA98" s="29"/>
      <c r="AB98" s="29"/>
      <c r="AC98" s="31"/>
      <c r="AE98" s="29"/>
      <c r="AF98" s="29"/>
      <c r="AG98" s="29"/>
      <c r="AH98" s="31"/>
    </row>
    <row r="99" spans="26:34">
      <c r="Z99" s="29"/>
      <c r="AA99" s="29"/>
      <c r="AB99" s="29"/>
      <c r="AC99" s="31"/>
      <c r="AE99" s="29"/>
      <c r="AF99" s="29"/>
      <c r="AG99" s="29"/>
      <c r="AH99" s="31"/>
    </row>
    <row r="100" spans="26:34">
      <c r="Z100" s="29"/>
      <c r="AA100" s="29"/>
      <c r="AB100" s="29"/>
      <c r="AC100" s="31"/>
      <c r="AE100" s="29"/>
      <c r="AF100" s="29"/>
      <c r="AG100" s="29"/>
      <c r="AH100" s="31"/>
    </row>
    <row r="101" spans="26:34">
      <c r="Z101" s="29"/>
      <c r="AA101" s="29"/>
      <c r="AB101" s="29"/>
      <c r="AC101" s="31"/>
      <c r="AE101" s="29"/>
      <c r="AF101" s="29"/>
      <c r="AG101" s="29"/>
      <c r="AH101" s="31"/>
    </row>
    <row r="102" spans="26:34">
      <c r="Z102" s="29"/>
      <c r="AA102" s="29"/>
      <c r="AB102" s="29"/>
      <c r="AC102" s="31"/>
      <c r="AE102" s="29"/>
      <c r="AF102" s="29"/>
      <c r="AG102" s="29"/>
      <c r="AH102" s="31"/>
    </row>
    <row r="103" spans="26:34">
      <c r="Z103" s="29"/>
      <c r="AA103" s="29"/>
      <c r="AB103" s="29"/>
      <c r="AC103" s="31"/>
      <c r="AE103" s="29"/>
      <c r="AF103" s="29"/>
      <c r="AG103" s="29"/>
      <c r="AH103" s="31"/>
    </row>
    <row r="104" spans="26:34">
      <c r="Z104" s="29"/>
      <c r="AA104" s="29"/>
      <c r="AB104" s="29"/>
      <c r="AC104" s="31"/>
      <c r="AE104" s="29"/>
      <c r="AF104" s="29"/>
      <c r="AG104" s="29"/>
      <c r="AH104" s="31"/>
    </row>
    <row r="105" spans="26:34">
      <c r="Z105" s="29"/>
      <c r="AA105" s="29"/>
      <c r="AB105" s="29"/>
      <c r="AC105" s="31"/>
      <c r="AE105" s="29"/>
      <c r="AF105" s="29"/>
      <c r="AG105" s="29"/>
      <c r="AH105" s="31"/>
    </row>
    <row r="106" spans="26:34">
      <c r="Z106" s="29"/>
      <c r="AA106" s="29"/>
      <c r="AB106" s="29"/>
      <c r="AC106" s="31"/>
      <c r="AE106" s="29"/>
      <c r="AF106" s="29"/>
      <c r="AG106" s="29"/>
      <c r="AH106" s="31"/>
    </row>
    <row r="107" spans="26:34">
      <c r="Z107" s="29"/>
      <c r="AA107" s="29"/>
      <c r="AB107" s="29"/>
      <c r="AC107" s="31"/>
      <c r="AE107" s="29"/>
      <c r="AF107" s="29"/>
      <c r="AG107" s="29"/>
      <c r="AH107" s="31"/>
    </row>
    <row r="108" spans="26:34">
      <c r="Z108" s="29"/>
      <c r="AA108" s="29"/>
      <c r="AB108" s="29"/>
      <c r="AC108" s="31"/>
      <c r="AE108" s="29"/>
      <c r="AF108" s="29"/>
      <c r="AG108" s="29"/>
      <c r="AH108" s="31"/>
    </row>
    <row r="109" spans="26:34">
      <c r="Z109" s="29"/>
      <c r="AA109" s="29"/>
      <c r="AB109" s="29"/>
      <c r="AC109" s="31"/>
      <c r="AE109" s="29"/>
      <c r="AF109" s="29"/>
      <c r="AG109" s="29"/>
      <c r="AH109" s="31"/>
    </row>
    <row r="110" spans="26:34">
      <c r="Z110" s="29"/>
      <c r="AA110" s="29"/>
      <c r="AB110" s="29"/>
      <c r="AC110" s="31"/>
      <c r="AE110" s="29"/>
      <c r="AF110" s="29"/>
      <c r="AG110" s="29"/>
      <c r="AH110" s="31"/>
    </row>
    <row r="111" spans="26:34">
      <c r="Z111" s="29"/>
      <c r="AA111" s="29"/>
      <c r="AB111" s="29"/>
      <c r="AC111" s="31"/>
      <c r="AE111" s="29"/>
      <c r="AF111" s="29"/>
      <c r="AG111" s="29"/>
      <c r="AH111" s="31"/>
    </row>
    <row r="112" spans="26:34">
      <c r="Z112" s="29"/>
      <c r="AA112" s="29"/>
      <c r="AB112" s="29"/>
      <c r="AC112" s="31"/>
      <c r="AE112" s="29"/>
      <c r="AF112" s="29"/>
      <c r="AG112" s="29"/>
      <c r="AH112" s="31"/>
    </row>
    <row r="113" spans="26:34">
      <c r="Z113" s="29"/>
      <c r="AA113" s="29"/>
      <c r="AB113" s="29"/>
      <c r="AC113" s="31"/>
      <c r="AE113" s="29"/>
      <c r="AF113" s="29"/>
      <c r="AG113" s="29"/>
      <c r="AH113" s="31"/>
    </row>
    <row r="114" spans="26:34">
      <c r="Z114" s="29"/>
      <c r="AA114" s="29"/>
      <c r="AB114" s="29"/>
      <c r="AC114" s="31"/>
      <c r="AE114" s="29"/>
      <c r="AF114" s="29"/>
      <c r="AG114" s="29"/>
      <c r="AH114" s="31"/>
    </row>
    <row r="115" spans="26:34">
      <c r="Z115" s="29"/>
      <c r="AA115" s="29"/>
      <c r="AB115" s="29"/>
      <c r="AC115" s="31"/>
      <c r="AE115" s="29"/>
      <c r="AF115" s="29"/>
      <c r="AG115" s="29"/>
      <c r="AH115" s="31"/>
    </row>
    <row r="116" spans="26:34">
      <c r="Z116" s="29"/>
      <c r="AA116" s="29"/>
      <c r="AB116" s="29"/>
      <c r="AC116" s="31"/>
      <c r="AE116" s="29"/>
      <c r="AF116" s="29"/>
      <c r="AG116" s="29"/>
      <c r="AH116" s="31"/>
    </row>
    <row r="117" spans="26:34">
      <c r="Z117" s="29"/>
      <c r="AA117" s="29"/>
      <c r="AB117" s="29"/>
      <c r="AC117" s="31"/>
      <c r="AE117" s="29"/>
      <c r="AF117" s="29"/>
      <c r="AG117" s="29"/>
      <c r="AH117" s="31"/>
    </row>
    <row r="118" spans="26:34">
      <c r="Z118" s="29"/>
      <c r="AA118" s="29"/>
      <c r="AB118" s="29"/>
      <c r="AC118" s="31"/>
      <c r="AE118" s="29"/>
      <c r="AF118" s="29"/>
      <c r="AG118" s="29"/>
      <c r="AH118" s="31"/>
    </row>
    <row r="119" spans="26:34">
      <c r="Z119" s="29"/>
      <c r="AA119" s="29"/>
      <c r="AB119" s="29"/>
      <c r="AC119" s="31"/>
      <c r="AE119" s="29"/>
      <c r="AF119" s="29"/>
      <c r="AG119" s="29"/>
      <c r="AH119" s="31"/>
    </row>
    <row r="120" spans="26:34">
      <c r="Z120" s="29"/>
      <c r="AA120" s="29"/>
      <c r="AB120" s="29"/>
      <c r="AC120" s="31"/>
      <c r="AE120" s="29"/>
      <c r="AF120" s="29"/>
      <c r="AG120" s="29"/>
      <c r="AH120" s="31"/>
    </row>
    <row r="121" spans="26:34">
      <c r="Z121" s="29"/>
      <c r="AA121" s="29"/>
      <c r="AB121" s="29"/>
      <c r="AC121" s="31"/>
      <c r="AE121" s="29"/>
      <c r="AF121" s="29"/>
      <c r="AG121" s="29"/>
      <c r="AH121" s="31"/>
    </row>
    <row r="122" spans="26:34">
      <c r="Z122" s="29"/>
      <c r="AA122" s="29"/>
      <c r="AB122" s="29"/>
      <c r="AC122" s="31"/>
      <c r="AE122" s="29"/>
      <c r="AF122" s="29"/>
      <c r="AG122" s="29"/>
      <c r="AH122" s="31"/>
    </row>
    <row r="123" spans="26:34">
      <c r="Z123" s="29"/>
      <c r="AA123" s="29"/>
      <c r="AB123" s="29"/>
      <c r="AC123" s="31"/>
      <c r="AE123" s="29"/>
      <c r="AF123" s="29"/>
      <c r="AG123" s="29"/>
      <c r="AH123" s="31"/>
    </row>
    <row r="124" spans="26:34">
      <c r="Z124" s="29"/>
      <c r="AA124" s="29"/>
      <c r="AB124" s="29"/>
      <c r="AC124" s="31"/>
      <c r="AE124" s="29"/>
      <c r="AF124" s="29"/>
      <c r="AG124" s="29"/>
      <c r="AH124" s="31"/>
    </row>
    <row r="125" spans="26:34">
      <c r="Z125" s="29"/>
      <c r="AA125" s="29"/>
      <c r="AB125" s="29"/>
      <c r="AC125" s="31"/>
      <c r="AE125" s="29"/>
      <c r="AF125" s="29"/>
      <c r="AG125" s="29"/>
      <c r="AH125" s="31"/>
    </row>
    <row r="126" spans="26:34">
      <c r="Z126" s="29"/>
      <c r="AA126" s="29"/>
      <c r="AB126" s="29"/>
      <c r="AC126" s="31"/>
      <c r="AE126" s="29"/>
      <c r="AF126" s="29"/>
      <c r="AG126" s="29"/>
      <c r="AH126" s="31"/>
    </row>
    <row r="127" spans="26:34">
      <c r="Z127" s="29"/>
      <c r="AA127" s="29"/>
      <c r="AB127" s="29"/>
      <c r="AC127" s="31"/>
      <c r="AE127" s="29"/>
      <c r="AF127" s="29"/>
      <c r="AG127" s="29"/>
      <c r="AH127" s="31"/>
    </row>
    <row r="128" spans="26:34">
      <c r="Z128" s="29"/>
      <c r="AA128" s="29"/>
      <c r="AB128" s="29"/>
      <c r="AC128" s="31"/>
      <c r="AE128" s="29"/>
      <c r="AF128" s="29"/>
      <c r="AG128" s="29"/>
      <c r="AH128" s="31"/>
    </row>
    <row r="129" spans="26:34">
      <c r="Z129" s="29"/>
      <c r="AA129" s="29"/>
      <c r="AB129" s="29"/>
      <c r="AC129" s="31"/>
      <c r="AE129" s="29"/>
      <c r="AF129" s="29"/>
      <c r="AG129" s="29"/>
      <c r="AH129" s="31"/>
    </row>
    <row r="130" spans="26:34">
      <c r="Z130" s="29"/>
      <c r="AA130" s="29"/>
      <c r="AB130" s="29"/>
      <c r="AC130" s="31"/>
      <c r="AE130" s="29"/>
      <c r="AF130" s="29"/>
      <c r="AG130" s="29"/>
      <c r="AH130" s="31"/>
    </row>
    <row r="131" spans="26:34">
      <c r="Z131" s="29"/>
      <c r="AA131" s="29"/>
      <c r="AB131" s="29"/>
      <c r="AC131" s="31"/>
      <c r="AE131" s="29"/>
      <c r="AF131" s="29"/>
      <c r="AG131" s="29"/>
      <c r="AH131" s="31"/>
    </row>
    <row r="132" spans="26:34">
      <c r="Z132" s="29"/>
      <c r="AA132" s="29"/>
      <c r="AB132" s="29"/>
      <c r="AC132" s="31"/>
      <c r="AE132" s="29"/>
      <c r="AF132" s="29"/>
      <c r="AG132" s="29"/>
      <c r="AH132" s="31"/>
    </row>
    <row r="133" spans="26:34">
      <c r="Z133" s="29"/>
      <c r="AA133" s="29"/>
      <c r="AB133" s="29"/>
      <c r="AC133" s="31"/>
      <c r="AE133" s="29"/>
      <c r="AF133" s="29"/>
      <c r="AG133" s="29"/>
      <c r="AH133" s="31"/>
    </row>
    <row r="134" spans="26:34">
      <c r="Z134" s="29"/>
      <c r="AA134" s="29"/>
      <c r="AB134" s="29"/>
      <c r="AC134" s="31"/>
      <c r="AE134" s="29"/>
      <c r="AF134" s="29"/>
      <c r="AG134" s="29"/>
      <c r="AH134" s="31"/>
    </row>
    <row r="135" spans="26:34">
      <c r="Z135" s="29"/>
      <c r="AA135" s="29"/>
      <c r="AB135" s="29"/>
      <c r="AC135" s="31"/>
      <c r="AE135" s="29"/>
      <c r="AF135" s="29"/>
      <c r="AG135" s="29"/>
      <c r="AH135" s="31"/>
    </row>
    <row r="136" spans="26:34">
      <c r="Z136" s="29"/>
      <c r="AA136" s="29"/>
      <c r="AB136" s="29"/>
      <c r="AC136" s="31"/>
      <c r="AE136" s="29"/>
      <c r="AF136" s="29"/>
      <c r="AG136" s="29"/>
      <c r="AH136" s="31"/>
    </row>
    <row r="137" spans="26:34">
      <c r="Z137" s="29"/>
      <c r="AA137" s="29"/>
      <c r="AB137" s="29"/>
      <c r="AC137" s="31"/>
      <c r="AE137" s="29"/>
      <c r="AF137" s="29"/>
      <c r="AG137" s="29"/>
      <c r="AH137" s="31"/>
    </row>
    <row r="138" spans="26:34">
      <c r="Z138" s="29"/>
      <c r="AA138" s="29"/>
      <c r="AB138" s="29"/>
      <c r="AC138" s="31"/>
      <c r="AE138" s="29"/>
      <c r="AF138" s="29"/>
      <c r="AG138" s="29"/>
      <c r="AH138" s="31"/>
    </row>
    <row r="139" spans="26:34">
      <c r="Z139" s="29"/>
      <c r="AA139" s="29"/>
      <c r="AB139" s="29"/>
      <c r="AC139" s="31"/>
      <c r="AE139" s="29"/>
      <c r="AF139" s="29"/>
      <c r="AG139" s="29"/>
      <c r="AH139" s="31"/>
    </row>
    <row r="140" spans="26:34">
      <c r="Z140" s="29"/>
      <c r="AA140" s="29"/>
      <c r="AB140" s="29"/>
      <c r="AC140" s="31"/>
      <c r="AE140" s="29"/>
      <c r="AF140" s="29"/>
      <c r="AG140" s="29"/>
      <c r="AH140" s="31"/>
    </row>
    <row r="141" spans="26:34">
      <c r="Z141" s="29"/>
      <c r="AA141" s="29"/>
      <c r="AB141" s="29"/>
      <c r="AC141" s="31"/>
      <c r="AE141" s="29"/>
      <c r="AF141" s="29"/>
      <c r="AG141" s="29"/>
      <c r="AH141" s="31"/>
    </row>
  </sheetData>
  <mergeCells count="327">
    <mergeCell ref="AJ8:AL8"/>
    <mergeCell ref="AO8:AQ8"/>
    <mergeCell ref="AT8:AV8"/>
    <mergeCell ref="AY8:BA8"/>
    <mergeCell ref="BD8:BF8"/>
    <mergeCell ref="BI8:BK8"/>
    <mergeCell ref="Z21:AB21"/>
    <mergeCell ref="AE21:AG21"/>
    <mergeCell ref="AJ21:AL21"/>
    <mergeCell ref="AO21:AQ21"/>
    <mergeCell ref="AT21:AV21"/>
    <mergeCell ref="AY21:BA21"/>
    <mergeCell ref="BD21:BF21"/>
    <mergeCell ref="AE17:AG17"/>
    <mergeCell ref="AJ17:AL17"/>
    <mergeCell ref="AO17:AQ17"/>
    <mergeCell ref="AT17:AV17"/>
    <mergeCell ref="AY17:BA17"/>
    <mergeCell ref="BD17:BF17"/>
    <mergeCell ref="Z18:AB18"/>
    <mergeCell ref="AE18:AG18"/>
    <mergeCell ref="AJ18:AL18"/>
    <mergeCell ref="AJ16:AL16"/>
    <mergeCell ref="AO16:AQ16"/>
    <mergeCell ref="AT16:AV16"/>
    <mergeCell ref="AY16:BA16"/>
    <mergeCell ref="BD16:BF16"/>
    <mergeCell ref="Z22:AB22"/>
    <mergeCell ref="AE22:AG22"/>
    <mergeCell ref="AJ22:AL22"/>
    <mergeCell ref="AO22:AQ22"/>
    <mergeCell ref="AT22:AV22"/>
    <mergeCell ref="AY22:BA22"/>
    <mergeCell ref="BD22:BF22"/>
    <mergeCell ref="Z19:AB19"/>
    <mergeCell ref="AE19:AG19"/>
    <mergeCell ref="AJ19:AL19"/>
    <mergeCell ref="AO19:AQ19"/>
    <mergeCell ref="AT19:AV19"/>
    <mergeCell ref="AY19:BA19"/>
    <mergeCell ref="BD19:BF19"/>
    <mergeCell ref="Z20:AB20"/>
    <mergeCell ref="AE20:AG20"/>
    <mergeCell ref="AJ20:AL20"/>
    <mergeCell ref="AO20:AQ20"/>
    <mergeCell ref="AT20:AV20"/>
    <mergeCell ref="AJ13:AL13"/>
    <mergeCell ref="AO13:AQ13"/>
    <mergeCell ref="AT13:AV13"/>
    <mergeCell ref="AY13:BA13"/>
    <mergeCell ref="BD13:BF13"/>
    <mergeCell ref="Z15:AB15"/>
    <mergeCell ref="AE15:AG15"/>
    <mergeCell ref="AJ15:AL15"/>
    <mergeCell ref="AO15:AQ15"/>
    <mergeCell ref="AT15:AV15"/>
    <mergeCell ref="AY15:BA15"/>
    <mergeCell ref="BD15:BF15"/>
    <mergeCell ref="Z14:AB14"/>
    <mergeCell ref="AE14:AG14"/>
    <mergeCell ref="AJ14:AL14"/>
    <mergeCell ref="AO14:AQ14"/>
    <mergeCell ref="AT14:AV14"/>
    <mergeCell ref="AY14:BA14"/>
    <mergeCell ref="BD14:BF14"/>
    <mergeCell ref="AJ11:AL11"/>
    <mergeCell ref="AO11:AQ11"/>
    <mergeCell ref="AT11:AV11"/>
    <mergeCell ref="AY11:BA11"/>
    <mergeCell ref="BD11:BF11"/>
    <mergeCell ref="Z12:AB12"/>
    <mergeCell ref="AE12:AG12"/>
    <mergeCell ref="AJ12:AL12"/>
    <mergeCell ref="AO12:AQ12"/>
    <mergeCell ref="AT12:AV12"/>
    <mergeCell ref="AY12:BA12"/>
    <mergeCell ref="BD12:BF12"/>
    <mergeCell ref="AJ9:AL9"/>
    <mergeCell ref="AO9:AQ9"/>
    <mergeCell ref="AT9:AV9"/>
    <mergeCell ref="AY9:BA9"/>
    <mergeCell ref="BD9:BF9"/>
    <mergeCell ref="Z10:AB10"/>
    <mergeCell ref="AE10:AG10"/>
    <mergeCell ref="AJ10:AL10"/>
    <mergeCell ref="AO10:AQ10"/>
    <mergeCell ref="AT10:AV10"/>
    <mergeCell ref="AY10:BA10"/>
    <mergeCell ref="BD10:BF10"/>
    <mergeCell ref="AJ6:AL6"/>
    <mergeCell ref="AO6:AQ6"/>
    <mergeCell ref="AT6:AV6"/>
    <mergeCell ref="AY6:BA6"/>
    <mergeCell ref="BD6:BF6"/>
    <mergeCell ref="Z7:AB7"/>
    <mergeCell ref="AE7:AG7"/>
    <mergeCell ref="AJ7:AL7"/>
    <mergeCell ref="AO7:AQ7"/>
    <mergeCell ref="AT7:AV7"/>
    <mergeCell ref="AY7:BA7"/>
    <mergeCell ref="BD7:BF7"/>
    <mergeCell ref="AV3:AW3"/>
    <mergeCell ref="AY3:AZ3"/>
    <mergeCell ref="BA3:BB3"/>
    <mergeCell ref="BD3:BE3"/>
    <mergeCell ref="BF3:BG3"/>
    <mergeCell ref="Z5:AB5"/>
    <mergeCell ref="AE5:AG5"/>
    <mergeCell ref="AJ5:AL5"/>
    <mergeCell ref="AO5:AQ5"/>
    <mergeCell ref="AT5:AV5"/>
    <mergeCell ref="AY5:BA5"/>
    <mergeCell ref="BD5:BF5"/>
    <mergeCell ref="Z3:AA3"/>
    <mergeCell ref="AB3:AC3"/>
    <mergeCell ref="AE3:AF3"/>
    <mergeCell ref="AG3:AH3"/>
    <mergeCell ref="AJ3:AK3"/>
    <mergeCell ref="AL3:AM3"/>
    <mergeCell ref="AO3:AP3"/>
    <mergeCell ref="AQ3:AR3"/>
    <mergeCell ref="AT3:AU3"/>
    <mergeCell ref="AJ1:AM1"/>
    <mergeCell ref="AO1:AR1"/>
    <mergeCell ref="AT1:AW1"/>
    <mergeCell ref="AY1:BB1"/>
    <mergeCell ref="BD1:BG1"/>
    <mergeCell ref="Z2:AA2"/>
    <mergeCell ref="AB2:AC2"/>
    <mergeCell ref="AE2:AF2"/>
    <mergeCell ref="AG2:AH2"/>
    <mergeCell ref="AJ2:AK2"/>
    <mergeCell ref="AL2:AM2"/>
    <mergeCell ref="AO2:AP2"/>
    <mergeCell ref="AQ2:AR2"/>
    <mergeCell ref="AT2:AU2"/>
    <mergeCell ref="AV2:AW2"/>
    <mergeCell ref="AY2:AZ2"/>
    <mergeCell ref="BA2:BB2"/>
    <mergeCell ref="BD2:BE2"/>
    <mergeCell ref="BF2:BG2"/>
    <mergeCell ref="A20:C20"/>
    <mergeCell ref="A21:C21"/>
    <mergeCell ref="A22:C22"/>
    <mergeCell ref="A17:C17"/>
    <mergeCell ref="A18:C18"/>
    <mergeCell ref="A19:C19"/>
    <mergeCell ref="Z17:AB17"/>
    <mergeCell ref="Z1:AC1"/>
    <mergeCell ref="AE1:AH1"/>
    <mergeCell ref="Z6:AB6"/>
    <mergeCell ref="AE6:AG6"/>
    <mergeCell ref="Z9:AB9"/>
    <mergeCell ref="AE9:AG9"/>
    <mergeCell ref="Z11:AB11"/>
    <mergeCell ref="AE11:AG11"/>
    <mergeCell ref="Z13:AB13"/>
    <mergeCell ref="AE13:AG13"/>
    <mergeCell ref="Z16:AB16"/>
    <mergeCell ref="AE16:AG16"/>
    <mergeCell ref="Z8:AB8"/>
    <mergeCell ref="AE8:AG8"/>
    <mergeCell ref="U3:V3"/>
    <mergeCell ref="W3:X3"/>
    <mergeCell ref="U5:W5"/>
    <mergeCell ref="K20:M20"/>
    <mergeCell ref="K21:M21"/>
    <mergeCell ref="K22:M22"/>
    <mergeCell ref="AO18:AQ18"/>
    <mergeCell ref="AT18:AV18"/>
    <mergeCell ref="AY18:BA18"/>
    <mergeCell ref="BD18:BF18"/>
    <mergeCell ref="AY20:BA20"/>
    <mergeCell ref="BD20:BF20"/>
    <mergeCell ref="P19:R19"/>
    <mergeCell ref="P20:R20"/>
    <mergeCell ref="P21:R21"/>
    <mergeCell ref="P22:R22"/>
    <mergeCell ref="BI17:BK17"/>
    <mergeCell ref="BI18:BK18"/>
    <mergeCell ref="BI19:BK19"/>
    <mergeCell ref="BI20:BK20"/>
    <mergeCell ref="BI21:BK21"/>
    <mergeCell ref="BI22:BK22"/>
    <mergeCell ref="U20:W20"/>
    <mergeCell ref="U21:W21"/>
    <mergeCell ref="U22:W22"/>
    <mergeCell ref="U17:W17"/>
    <mergeCell ref="U18:W18"/>
    <mergeCell ref="U19:W19"/>
    <mergeCell ref="BI13:BK13"/>
    <mergeCell ref="BI14:BK14"/>
    <mergeCell ref="BI15:BK15"/>
    <mergeCell ref="BI16:BK16"/>
    <mergeCell ref="BI6:BK6"/>
    <mergeCell ref="BI7:BK7"/>
    <mergeCell ref="BI9:BK9"/>
    <mergeCell ref="BI10:BK10"/>
    <mergeCell ref="BI11:BK11"/>
    <mergeCell ref="BI12:BK12"/>
    <mergeCell ref="P13:R13"/>
    <mergeCell ref="P14:R14"/>
    <mergeCell ref="P15:R15"/>
    <mergeCell ref="P16:R16"/>
    <mergeCell ref="BI1:BL1"/>
    <mergeCell ref="BI2:BJ2"/>
    <mergeCell ref="BK2:BL2"/>
    <mergeCell ref="BI3:BJ3"/>
    <mergeCell ref="BK3:BL3"/>
    <mergeCell ref="BI5:BK5"/>
    <mergeCell ref="U13:W13"/>
    <mergeCell ref="U14:W14"/>
    <mergeCell ref="U15:W15"/>
    <mergeCell ref="U16:W16"/>
    <mergeCell ref="U6:W6"/>
    <mergeCell ref="U7:W7"/>
    <mergeCell ref="U9:W9"/>
    <mergeCell ref="U8:W8"/>
    <mergeCell ref="P1:S1"/>
    <mergeCell ref="P2:Q2"/>
    <mergeCell ref="R2:S2"/>
    <mergeCell ref="P3:Q3"/>
    <mergeCell ref="R3:S3"/>
    <mergeCell ref="P5:R5"/>
    <mergeCell ref="P17:R17"/>
    <mergeCell ref="P18:R18"/>
    <mergeCell ref="U10:W10"/>
    <mergeCell ref="U11:W11"/>
    <mergeCell ref="U12:W12"/>
    <mergeCell ref="U1:X1"/>
    <mergeCell ref="U2:V2"/>
    <mergeCell ref="W2:X2"/>
    <mergeCell ref="K7:M7"/>
    <mergeCell ref="K9:M9"/>
    <mergeCell ref="K10:M10"/>
    <mergeCell ref="K11:M11"/>
    <mergeCell ref="K12:M12"/>
    <mergeCell ref="P6:R6"/>
    <mergeCell ref="P7:R7"/>
    <mergeCell ref="P9:R9"/>
    <mergeCell ref="P10:R10"/>
    <mergeCell ref="P11:R11"/>
    <mergeCell ref="P12:R12"/>
    <mergeCell ref="P8:R8"/>
    <mergeCell ref="K1:N1"/>
    <mergeCell ref="K2:L2"/>
    <mergeCell ref="M2:N2"/>
    <mergeCell ref="K3:L3"/>
    <mergeCell ref="M3:N3"/>
    <mergeCell ref="K5:M5"/>
    <mergeCell ref="F17:H17"/>
    <mergeCell ref="F18:H18"/>
    <mergeCell ref="F19:H19"/>
    <mergeCell ref="K8:M8"/>
    <mergeCell ref="F1:I1"/>
    <mergeCell ref="F2:G2"/>
    <mergeCell ref="H2:I2"/>
    <mergeCell ref="F3:G3"/>
    <mergeCell ref="H3:I3"/>
    <mergeCell ref="F5:H5"/>
    <mergeCell ref="K17:M17"/>
    <mergeCell ref="K18:M18"/>
    <mergeCell ref="K19:M19"/>
    <mergeCell ref="K13:M13"/>
    <mergeCell ref="K14:M14"/>
    <mergeCell ref="K15:M15"/>
    <mergeCell ref="K16:M16"/>
    <mergeCell ref="K6:M6"/>
    <mergeCell ref="F20:H20"/>
    <mergeCell ref="F21:H21"/>
    <mergeCell ref="F22:H22"/>
    <mergeCell ref="F13:H13"/>
    <mergeCell ref="F14:H14"/>
    <mergeCell ref="F15:H15"/>
    <mergeCell ref="F16:H16"/>
    <mergeCell ref="F6:H6"/>
    <mergeCell ref="F7:H7"/>
    <mergeCell ref="F9:H9"/>
    <mergeCell ref="F10:H10"/>
    <mergeCell ref="F11:H11"/>
    <mergeCell ref="F12:H12"/>
    <mergeCell ref="F8:H8"/>
    <mergeCell ref="A1:D1"/>
    <mergeCell ref="A2:B2"/>
    <mergeCell ref="C2:D2"/>
    <mergeCell ref="A23:C23"/>
    <mergeCell ref="A25:C25"/>
    <mergeCell ref="A24:C24"/>
    <mergeCell ref="F23:H23"/>
    <mergeCell ref="F24:H24"/>
    <mergeCell ref="K23:M23"/>
    <mergeCell ref="K24:M24"/>
    <mergeCell ref="A14:C14"/>
    <mergeCell ref="A15:C15"/>
    <mergeCell ref="A16:C16"/>
    <mergeCell ref="A3:B3"/>
    <mergeCell ref="C3:D3"/>
    <mergeCell ref="A5:C5"/>
    <mergeCell ref="A6:C6"/>
    <mergeCell ref="A7:C7"/>
    <mergeCell ref="A9:C9"/>
    <mergeCell ref="A10:C10"/>
    <mergeCell ref="A11:C11"/>
    <mergeCell ref="A12:C12"/>
    <mergeCell ref="A8:C8"/>
    <mergeCell ref="A13:C13"/>
    <mergeCell ref="P23:R23"/>
    <mergeCell ref="P24:R24"/>
    <mergeCell ref="AT23:AV23"/>
    <mergeCell ref="AT24:AV24"/>
    <mergeCell ref="AY23:BA23"/>
    <mergeCell ref="AY24:BA24"/>
    <mergeCell ref="BD23:BF23"/>
    <mergeCell ref="BD24:BF24"/>
    <mergeCell ref="BI23:BK23"/>
    <mergeCell ref="BI24:BK24"/>
    <mergeCell ref="AO23:AQ23"/>
    <mergeCell ref="AO24:AQ24"/>
    <mergeCell ref="U27:W27"/>
    <mergeCell ref="U23:W23"/>
    <mergeCell ref="U24:W24"/>
    <mergeCell ref="Z23:AB23"/>
    <mergeCell ref="Z24:AB24"/>
    <mergeCell ref="AE23:AG23"/>
    <mergeCell ref="AE24:AG24"/>
    <mergeCell ref="AJ23:AL23"/>
    <mergeCell ref="AJ24:AL24"/>
  </mergeCells>
  <hyperlinks>
    <hyperlink ref="AE1:AH1" location="'قائمة المستثمرين'!A1" display="تقرير المستثمر :   مقبل ناجي عوض العلوني   ( 31-12-2024 )" xr:uid="{9CF0E951-92BD-4B53-92FC-27065D0EA271}"/>
    <hyperlink ref="Z1:AC1" location="'قائمة المستثمرين'!A1" display="تقرير المستثمر :   مقبل ناجي عوض العلوني   ( 31-12-2024 )" xr:uid="{FAC34CD1-A576-4CFC-B204-AABDC8FAD04C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998A-DF8D-48D8-AAC9-D853905FB320}">
  <sheetPr>
    <tabColor rgb="FF66FFFF"/>
  </sheetPr>
  <dimension ref="A1:D29"/>
  <sheetViews>
    <sheetView rightToLeft="1" topLeftCell="A10" workbookViewId="0">
      <selection activeCell="D16" sqref="D16"/>
    </sheetView>
  </sheetViews>
  <sheetFormatPr defaultColWidth="8.875" defaultRowHeight="14.25"/>
  <cols>
    <col min="1" max="1" width="18" customWidth="1"/>
    <col min="2" max="2" width="12.625" customWidth="1"/>
    <col min="3" max="3" width="22.875" customWidth="1"/>
    <col min="4" max="4" width="13.375" customWidth="1"/>
  </cols>
  <sheetData>
    <row r="1" spans="1:4" ht="18" thickBot="1">
      <c r="A1" s="135" t="s">
        <v>95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4</v>
      </c>
      <c r="D2" s="137"/>
    </row>
    <row r="3" spans="1:4" ht="21" thickBot="1">
      <c r="A3" s="136" t="s">
        <v>2</v>
      </c>
      <c r="B3" s="136"/>
      <c r="C3" s="142" t="s">
        <v>96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20284.34782608696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20284.34782608696</v>
      </c>
    </row>
    <row r="10" spans="1:4" ht="17.25" thickBot="1">
      <c r="A10" s="147" t="s">
        <v>39</v>
      </c>
      <c r="B10" s="148"/>
      <c r="C10" s="149"/>
      <c r="D10" s="50">
        <v>384.00009999999997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196.04448800199998</v>
      </c>
    </row>
    <row r="13" spans="1:4" ht="17.25" thickBot="1">
      <c r="A13" s="147" t="s">
        <v>297</v>
      </c>
      <c r="B13" s="148"/>
      <c r="C13" s="149"/>
      <c r="D13" s="50">
        <v>299.98</v>
      </c>
    </row>
    <row r="14" spans="1:4" ht="17.25" thickBot="1">
      <c r="A14" s="147" t="s">
        <v>43</v>
      </c>
      <c r="B14" s="148"/>
      <c r="C14" s="149"/>
      <c r="D14" s="50">
        <v>0</v>
      </c>
    </row>
    <row r="15" spans="1:4" ht="17.25" thickBot="1">
      <c r="A15" s="147" t="s">
        <v>44</v>
      </c>
      <c r="B15" s="148"/>
      <c r="C15" s="149"/>
      <c r="D15" s="50">
        <v>268.03999999999996</v>
      </c>
    </row>
    <row r="16" spans="1:4" ht="17.25" thickBot="1">
      <c r="A16" s="147" t="s">
        <v>298</v>
      </c>
      <c r="B16" s="148"/>
      <c r="C16" s="149"/>
      <c r="D16" s="50">
        <f>450+113</f>
        <v>563</v>
      </c>
    </row>
    <row r="17" spans="1:4" ht="17.25" thickBot="1">
      <c r="A17" s="153" t="s">
        <v>48</v>
      </c>
      <c r="B17" s="154"/>
      <c r="C17" s="155"/>
      <c r="D17" s="52">
        <f>SUM(D10:D16)</f>
        <v>1711.0645880019999</v>
      </c>
    </row>
    <row r="18" spans="1:4" ht="17.25" thickBot="1">
      <c r="A18" s="156" t="s">
        <v>10</v>
      </c>
      <c r="B18" s="157"/>
      <c r="C18" s="158"/>
      <c r="D18" s="53">
        <f>D9-D17</f>
        <v>18573.283238084961</v>
      </c>
    </row>
    <row r="19" spans="1:4" ht="17.25" thickBot="1">
      <c r="A19" s="147" t="s">
        <v>20</v>
      </c>
      <c r="B19" s="148"/>
      <c r="C19" s="149"/>
      <c r="D19" s="50">
        <f>D18*0.3</f>
        <v>5571.9849714254879</v>
      </c>
    </row>
    <row r="20" spans="1:4" ht="17.25" thickBot="1">
      <c r="A20" s="159" t="s">
        <v>21</v>
      </c>
      <c r="B20" s="160"/>
      <c r="C20" s="161"/>
      <c r="D20" s="54">
        <f>D18-D19</f>
        <v>13001.298266659473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13001.298266659473</v>
      </c>
    </row>
    <row r="23" spans="1:4" ht="17.25" thickBot="1">
      <c r="A23" s="150" t="s">
        <v>299</v>
      </c>
      <c r="B23" s="151" t="s">
        <v>299</v>
      </c>
      <c r="C23" s="152"/>
      <c r="D23" s="51">
        <v>31431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44432.298266659476</v>
      </c>
    </row>
    <row r="25" spans="1:4" ht="16.5">
      <c r="A25" s="12" t="s">
        <v>24</v>
      </c>
      <c r="B25" s="4"/>
      <c r="C25" s="4"/>
      <c r="D25" s="5"/>
    </row>
    <row r="26" spans="1:4">
      <c r="A26" s="15" t="s">
        <v>13</v>
      </c>
      <c r="B26" s="15" t="s">
        <v>29</v>
      </c>
      <c r="C26" s="15" t="s">
        <v>25</v>
      </c>
      <c r="D26" s="16" t="s">
        <v>7</v>
      </c>
    </row>
    <row r="27" spans="1:4" ht="16.5">
      <c r="A27" s="24" t="s">
        <v>97</v>
      </c>
      <c r="B27" s="100">
        <v>2023</v>
      </c>
      <c r="C27" s="26" t="s">
        <v>65</v>
      </c>
      <c r="D27" s="83">
        <v>4701.5</v>
      </c>
    </row>
    <row r="28" spans="1:4" ht="24">
      <c r="A28" s="24" t="s">
        <v>274</v>
      </c>
      <c r="B28" s="25">
        <v>45453</v>
      </c>
      <c r="C28" s="26" t="s">
        <v>65</v>
      </c>
      <c r="D28" s="83">
        <v>203.22</v>
      </c>
    </row>
    <row r="29" spans="1:4" ht="16.5">
      <c r="A29" s="187" t="s">
        <v>285</v>
      </c>
      <c r="B29" s="188"/>
      <c r="C29" s="189"/>
      <c r="D29" s="83">
        <f>SUM(D27:D28)</f>
        <v>4904.72</v>
      </c>
    </row>
  </sheetData>
  <mergeCells count="26">
    <mergeCell ref="A29:C29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BEF3-0F7B-4746-AEB9-3384BDE93001}">
  <sheetPr>
    <tabColor rgb="FF66FFFF"/>
  </sheetPr>
  <dimension ref="A1:AM27"/>
  <sheetViews>
    <sheetView rightToLeft="1" topLeftCell="AA1" workbookViewId="0">
      <selection activeCell="AM24" sqref="AM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" style="47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" style="47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1" style="47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1" style="47" customWidth="1"/>
    <col min="21" max="21" width="18" customWidth="1"/>
    <col min="22" max="22" width="12.625" customWidth="1"/>
    <col min="23" max="23" width="16.625" customWidth="1"/>
    <col min="24" max="24" width="13.375" customWidth="1"/>
    <col min="25" max="25" width="1" style="47" customWidth="1"/>
    <col min="26" max="26" width="18" customWidth="1"/>
    <col min="27" max="27" width="12.625" customWidth="1"/>
    <col min="28" max="28" width="16.625" customWidth="1"/>
    <col min="29" max="29" width="13.375" customWidth="1"/>
    <col min="30" max="30" width="1" style="47" customWidth="1"/>
    <col min="31" max="31" width="18" customWidth="1"/>
    <col min="32" max="32" width="12.625" customWidth="1"/>
    <col min="33" max="33" width="16.625" customWidth="1"/>
    <col min="34" max="34" width="13.375" customWidth="1"/>
    <col min="35" max="35" width="1.125" style="65" customWidth="1"/>
    <col min="36" max="36" width="18" customWidth="1"/>
    <col min="37" max="37" width="12.625" customWidth="1"/>
    <col min="38" max="38" width="50.25" customWidth="1"/>
    <col min="39" max="39" width="17.125" customWidth="1"/>
  </cols>
  <sheetData>
    <row r="1" spans="1:39" ht="18" thickBot="1">
      <c r="A1" s="135" t="s">
        <v>222</v>
      </c>
      <c r="B1" s="135"/>
      <c r="C1" s="135"/>
      <c r="D1" s="135"/>
      <c r="F1" s="135" t="s">
        <v>222</v>
      </c>
      <c r="G1" s="135"/>
      <c r="H1" s="135"/>
      <c r="I1" s="135"/>
      <c r="K1" s="135" t="s">
        <v>222</v>
      </c>
      <c r="L1" s="135"/>
      <c r="M1" s="135"/>
      <c r="N1" s="135"/>
      <c r="P1" s="135" t="s">
        <v>222</v>
      </c>
      <c r="Q1" s="135"/>
      <c r="R1" s="135"/>
      <c r="S1" s="135"/>
      <c r="U1" s="135" t="s">
        <v>222</v>
      </c>
      <c r="V1" s="135"/>
      <c r="W1" s="135"/>
      <c r="X1" s="135"/>
      <c r="Z1" s="135" t="s">
        <v>222</v>
      </c>
      <c r="AA1" s="135"/>
      <c r="AB1" s="135"/>
      <c r="AC1" s="135"/>
      <c r="AE1" s="135" t="s">
        <v>222</v>
      </c>
      <c r="AF1" s="135"/>
      <c r="AG1" s="135"/>
      <c r="AH1" s="135"/>
      <c r="AI1" s="66"/>
      <c r="AJ1" s="135" t="s">
        <v>222</v>
      </c>
      <c r="AK1" s="135"/>
      <c r="AL1" s="135"/>
      <c r="AM1" s="135"/>
    </row>
    <row r="2" spans="1:39" ht="18" thickBot="1">
      <c r="A2" s="136" t="s">
        <v>1</v>
      </c>
      <c r="B2" s="136"/>
      <c r="C2" s="137" t="s">
        <v>4</v>
      </c>
      <c r="D2" s="137"/>
      <c r="F2" s="136" t="s">
        <v>1</v>
      </c>
      <c r="G2" s="136"/>
      <c r="H2" s="137" t="s">
        <v>90</v>
      </c>
      <c r="I2" s="137"/>
      <c r="K2" s="136" t="s">
        <v>1</v>
      </c>
      <c r="L2" s="136"/>
      <c r="M2" s="137" t="s">
        <v>100</v>
      </c>
      <c r="N2" s="137"/>
      <c r="P2" s="136" t="s">
        <v>1</v>
      </c>
      <c r="Q2" s="136"/>
      <c r="R2" s="137" t="s">
        <v>102</v>
      </c>
      <c r="S2" s="137"/>
      <c r="U2" s="136" t="s">
        <v>1</v>
      </c>
      <c r="V2" s="136"/>
      <c r="W2" s="137" t="s">
        <v>104</v>
      </c>
      <c r="X2" s="137"/>
      <c r="Z2" s="136" t="s">
        <v>1</v>
      </c>
      <c r="AA2" s="136"/>
      <c r="AB2" s="137" t="s">
        <v>245</v>
      </c>
      <c r="AC2" s="137"/>
      <c r="AE2" s="136" t="s">
        <v>1</v>
      </c>
      <c r="AF2" s="136"/>
      <c r="AG2" s="137" t="s">
        <v>315</v>
      </c>
      <c r="AH2" s="137"/>
      <c r="AI2" s="67"/>
      <c r="AJ2" s="136" t="s">
        <v>1</v>
      </c>
      <c r="AK2" s="136"/>
      <c r="AL2" s="137"/>
      <c r="AM2" s="137"/>
    </row>
    <row r="3" spans="1:39" ht="21" thickBot="1">
      <c r="A3" s="136" t="s">
        <v>2</v>
      </c>
      <c r="B3" s="136"/>
      <c r="C3" s="142" t="s">
        <v>98</v>
      </c>
      <c r="D3" s="143"/>
      <c r="F3" s="136" t="s">
        <v>2</v>
      </c>
      <c r="G3" s="136"/>
      <c r="H3" s="142" t="s">
        <v>99</v>
      </c>
      <c r="I3" s="143"/>
      <c r="K3" s="136" t="s">
        <v>2</v>
      </c>
      <c r="L3" s="136"/>
      <c r="M3" s="142" t="s">
        <v>101</v>
      </c>
      <c r="N3" s="143"/>
      <c r="P3" s="136" t="s">
        <v>2</v>
      </c>
      <c r="Q3" s="136"/>
      <c r="R3" s="142" t="s">
        <v>103</v>
      </c>
      <c r="S3" s="143"/>
      <c r="U3" s="136" t="s">
        <v>2</v>
      </c>
      <c r="V3" s="136"/>
      <c r="W3" s="142" t="s">
        <v>105</v>
      </c>
      <c r="X3" s="143"/>
      <c r="Z3" s="136" t="s">
        <v>2</v>
      </c>
      <c r="AA3" s="136"/>
      <c r="AB3" s="142" t="s">
        <v>246</v>
      </c>
      <c r="AC3" s="143"/>
      <c r="AE3" s="136" t="s">
        <v>2</v>
      </c>
      <c r="AF3" s="136"/>
      <c r="AG3" s="142" t="s">
        <v>316</v>
      </c>
      <c r="AH3" s="143"/>
      <c r="AI3" s="68"/>
      <c r="AJ3" s="136" t="s">
        <v>2</v>
      </c>
      <c r="AK3" s="136"/>
      <c r="AL3" s="190" t="str">
        <f>W3&amp;"-"&amp;R3&amp;"-"&amp;M3&amp;"-"&amp;H3&amp;"-"&amp;C3&amp;" - "&amp;AB3&amp;"-"&amp;AG3</f>
        <v>ر ر س 5815-2231 ر د ن-د ه ر 7516-3109 د م أ -د ي ر9568 - ر ك س 3490-ر ك س 3554</v>
      </c>
      <c r="AM3" s="191"/>
    </row>
    <row r="4" spans="1:39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  <c r="P4" s="4"/>
      <c r="Q4" s="4"/>
      <c r="R4" s="4"/>
      <c r="S4" s="5"/>
      <c r="U4" s="4"/>
      <c r="V4" s="4"/>
      <c r="W4" s="4"/>
      <c r="X4" s="5"/>
      <c r="Z4" s="4"/>
      <c r="AA4" s="4"/>
      <c r="AB4" s="4" t="s">
        <v>247</v>
      </c>
      <c r="AC4" s="5"/>
      <c r="AE4" s="4"/>
      <c r="AF4" s="4"/>
      <c r="AG4" s="4"/>
      <c r="AH4" s="5"/>
      <c r="AI4" s="69"/>
      <c r="AJ4" s="4"/>
      <c r="AK4" s="4"/>
      <c r="AL4" s="4"/>
      <c r="AM4" s="5"/>
    </row>
    <row r="5" spans="1:39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U5" s="144" t="s">
        <v>6</v>
      </c>
      <c r="V5" s="145"/>
      <c r="W5" s="146"/>
      <c r="X5" s="50" t="s">
        <v>7</v>
      </c>
      <c r="Z5" s="144" t="s">
        <v>6</v>
      </c>
      <c r="AA5" s="145"/>
      <c r="AB5" s="146"/>
      <c r="AC5" s="50" t="s">
        <v>7</v>
      </c>
      <c r="AE5" s="144" t="s">
        <v>6</v>
      </c>
      <c r="AF5" s="145"/>
      <c r="AG5" s="146"/>
      <c r="AH5" s="50" t="s">
        <v>7</v>
      </c>
      <c r="AI5" s="70"/>
      <c r="AJ5" s="144" t="s">
        <v>6</v>
      </c>
      <c r="AK5" s="145"/>
      <c r="AL5" s="146"/>
      <c r="AM5" s="50" t="s">
        <v>7</v>
      </c>
    </row>
    <row r="6" spans="1:39" ht="17.25" thickBot="1">
      <c r="A6" s="147" t="s">
        <v>294</v>
      </c>
      <c r="B6" s="148"/>
      <c r="C6" s="149"/>
      <c r="D6" s="50">
        <v>21958.695652173916</v>
      </c>
      <c r="F6" s="147" t="s">
        <v>294</v>
      </c>
      <c r="G6" s="148"/>
      <c r="H6" s="149"/>
      <c r="I6" s="50">
        <v>17700.869565217392</v>
      </c>
      <c r="K6" s="147" t="s">
        <v>294</v>
      </c>
      <c r="L6" s="148"/>
      <c r="M6" s="149"/>
      <c r="N6" s="50">
        <v>23091.304347826088</v>
      </c>
      <c r="P6" s="147" t="s">
        <v>294</v>
      </c>
      <c r="Q6" s="148"/>
      <c r="R6" s="149"/>
      <c r="S6" s="50">
        <v>23669.626086956523</v>
      </c>
      <c r="U6" s="147" t="s">
        <v>294</v>
      </c>
      <c r="V6" s="148"/>
      <c r="W6" s="149"/>
      <c r="X6" s="50">
        <v>46162.078260869566</v>
      </c>
      <c r="Z6" s="147" t="s">
        <v>294</v>
      </c>
      <c r="AA6" s="148"/>
      <c r="AB6" s="149"/>
      <c r="AC6" s="50">
        <v>11867.852173913045</v>
      </c>
      <c r="AE6" s="147" t="s">
        <v>294</v>
      </c>
      <c r="AF6" s="148"/>
      <c r="AG6" s="149"/>
      <c r="AH6" s="50">
        <v>0</v>
      </c>
      <c r="AI6" s="70"/>
      <c r="AJ6" s="147" t="s">
        <v>294</v>
      </c>
      <c r="AK6" s="148"/>
      <c r="AL6" s="149"/>
      <c r="AM6" s="50">
        <f>D6+I6+N6+S6+X6+AC6+AH6</f>
        <v>144450.42608695652</v>
      </c>
    </row>
    <row r="7" spans="1:39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4556.3</v>
      </c>
      <c r="P7" s="147" t="s">
        <v>295</v>
      </c>
      <c r="Q7" s="148"/>
      <c r="R7" s="149"/>
      <c r="S7" s="50">
        <v>0</v>
      </c>
      <c r="U7" s="147" t="s">
        <v>295</v>
      </c>
      <c r="V7" s="148"/>
      <c r="W7" s="149"/>
      <c r="X7" s="50">
        <v>0</v>
      </c>
      <c r="Z7" s="147" t="s">
        <v>295</v>
      </c>
      <c r="AA7" s="148"/>
      <c r="AB7" s="149"/>
      <c r="AC7" s="50">
        <v>0</v>
      </c>
      <c r="AE7" s="147" t="s">
        <v>295</v>
      </c>
      <c r="AF7" s="148"/>
      <c r="AG7" s="149"/>
      <c r="AH7" s="50">
        <v>0</v>
      </c>
      <c r="AI7" s="70"/>
      <c r="AJ7" s="147" t="s">
        <v>295</v>
      </c>
      <c r="AK7" s="148"/>
      <c r="AL7" s="149"/>
      <c r="AM7" s="50">
        <f t="shared" ref="AM7:AM24" si="0">D7+I7+N7+S7+X7+AC7+AH7</f>
        <v>4556.3</v>
      </c>
    </row>
    <row r="8" spans="1:39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/>
      <c r="U8" s="147" t="s">
        <v>296</v>
      </c>
      <c r="V8" s="148"/>
      <c r="W8" s="149"/>
      <c r="X8" s="50">
        <v>0</v>
      </c>
      <c r="Z8" s="147" t="s">
        <v>296</v>
      </c>
      <c r="AA8" s="148"/>
      <c r="AB8" s="149"/>
      <c r="AC8" s="50">
        <v>0</v>
      </c>
      <c r="AE8" s="147" t="s">
        <v>296</v>
      </c>
      <c r="AF8" s="148"/>
      <c r="AG8" s="149"/>
      <c r="AH8" s="50">
        <v>0</v>
      </c>
      <c r="AI8" s="70"/>
      <c r="AJ8" s="147" t="s">
        <v>296</v>
      </c>
      <c r="AK8" s="148"/>
      <c r="AL8" s="149"/>
      <c r="AM8" s="50">
        <f t="shared" si="0"/>
        <v>0</v>
      </c>
    </row>
    <row r="9" spans="1:39" ht="17.25" thickBot="1">
      <c r="A9" s="150" t="s">
        <v>9</v>
      </c>
      <c r="B9" s="151"/>
      <c r="C9" s="152"/>
      <c r="D9" s="51">
        <f>SUM(D6:D8)</f>
        <v>21958.695652173916</v>
      </c>
      <c r="F9" s="150" t="s">
        <v>9</v>
      </c>
      <c r="G9" s="151"/>
      <c r="H9" s="152"/>
      <c r="I9" s="51">
        <f>SUM(I6:I8)</f>
        <v>17700.869565217392</v>
      </c>
      <c r="K9" s="150" t="s">
        <v>9</v>
      </c>
      <c r="L9" s="151"/>
      <c r="M9" s="152"/>
      <c r="N9" s="51">
        <f>SUM(N6:N8)</f>
        <v>27647.604347826087</v>
      </c>
      <c r="P9" s="150" t="s">
        <v>9</v>
      </c>
      <c r="Q9" s="151"/>
      <c r="R9" s="152"/>
      <c r="S9" s="51">
        <f>SUM(S6:S8)</f>
        <v>23669.626086956523</v>
      </c>
      <c r="U9" s="150" t="s">
        <v>9</v>
      </c>
      <c r="V9" s="151"/>
      <c r="W9" s="152"/>
      <c r="X9" s="51">
        <f>SUM(X6:X8)</f>
        <v>46162.078260869566</v>
      </c>
      <c r="Z9" s="150" t="s">
        <v>9</v>
      </c>
      <c r="AA9" s="151"/>
      <c r="AB9" s="152"/>
      <c r="AC9" s="51">
        <f>SUM(AC6:AC8)</f>
        <v>11867.852173913045</v>
      </c>
      <c r="AE9" s="150" t="s">
        <v>9</v>
      </c>
      <c r="AF9" s="151"/>
      <c r="AG9" s="152"/>
      <c r="AH9" s="51">
        <f>SUM(AH6:AH8)</f>
        <v>0</v>
      </c>
      <c r="AI9" s="70"/>
      <c r="AJ9" s="150" t="s">
        <v>9</v>
      </c>
      <c r="AK9" s="151"/>
      <c r="AL9" s="152"/>
      <c r="AM9" s="51">
        <f t="shared" si="0"/>
        <v>149006.72608695654</v>
      </c>
    </row>
    <row r="10" spans="1:39" ht="17.25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184</v>
      </c>
      <c r="K10" s="147" t="s">
        <v>39</v>
      </c>
      <c r="L10" s="148"/>
      <c r="M10" s="149"/>
      <c r="N10" s="50">
        <v>184</v>
      </c>
      <c r="P10" s="147" t="s">
        <v>39</v>
      </c>
      <c r="Q10" s="148"/>
      <c r="R10" s="149"/>
      <c r="S10" s="50">
        <v>184</v>
      </c>
      <c r="U10" s="147" t="s">
        <v>39</v>
      </c>
      <c r="V10" s="148"/>
      <c r="W10" s="149"/>
      <c r="X10" s="50">
        <v>264</v>
      </c>
      <c r="Z10" s="147" t="s">
        <v>39</v>
      </c>
      <c r="AA10" s="148"/>
      <c r="AB10" s="149"/>
      <c r="AC10" s="50">
        <v>138.44999999999999</v>
      </c>
      <c r="AE10" s="147" t="s">
        <v>39</v>
      </c>
      <c r="AF10" s="148"/>
      <c r="AG10" s="149"/>
      <c r="AH10" s="50">
        <v>0</v>
      </c>
      <c r="AI10" s="70"/>
      <c r="AJ10" s="147" t="s">
        <v>39</v>
      </c>
      <c r="AK10" s="148"/>
      <c r="AL10" s="149"/>
      <c r="AM10" s="50">
        <f t="shared" si="0"/>
        <v>1138.45</v>
      </c>
    </row>
    <row r="11" spans="1:39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100</v>
      </c>
      <c r="P11" s="147" t="s">
        <v>40</v>
      </c>
      <c r="Q11" s="148"/>
      <c r="R11" s="149"/>
      <c r="S11" s="50">
        <v>0</v>
      </c>
      <c r="U11" s="147" t="s">
        <v>40</v>
      </c>
      <c r="V11" s="148"/>
      <c r="W11" s="149"/>
      <c r="X11" s="50">
        <v>0</v>
      </c>
      <c r="Z11" s="147" t="s">
        <v>40</v>
      </c>
      <c r="AA11" s="148"/>
      <c r="AB11" s="149"/>
      <c r="AC11" s="50">
        <v>0</v>
      </c>
      <c r="AE11" s="147" t="s">
        <v>40</v>
      </c>
      <c r="AF11" s="148"/>
      <c r="AG11" s="149"/>
      <c r="AH11" s="50">
        <v>0</v>
      </c>
      <c r="AI11" s="70"/>
      <c r="AJ11" s="147" t="s">
        <v>40</v>
      </c>
      <c r="AK11" s="148"/>
      <c r="AL11" s="149"/>
      <c r="AM11" s="50">
        <f t="shared" si="0"/>
        <v>100</v>
      </c>
    </row>
    <row r="12" spans="1:39" ht="17.25" thickBot="1">
      <c r="A12" s="147" t="s">
        <v>302</v>
      </c>
      <c r="B12" s="148"/>
      <c r="C12" s="149"/>
      <c r="D12" s="50">
        <v>106.17203216799999</v>
      </c>
      <c r="F12" s="147" t="s">
        <v>302</v>
      </c>
      <c r="G12" s="148"/>
      <c r="H12" s="149"/>
      <c r="I12" s="50">
        <v>0</v>
      </c>
      <c r="K12" s="147" t="s">
        <v>302</v>
      </c>
      <c r="L12" s="148"/>
      <c r="M12" s="149"/>
      <c r="N12" s="50">
        <v>0</v>
      </c>
      <c r="P12" s="147" t="s">
        <v>302</v>
      </c>
      <c r="Q12" s="148"/>
      <c r="R12" s="149"/>
      <c r="S12" s="50">
        <v>86.569182527000009</v>
      </c>
      <c r="U12" s="147" t="s">
        <v>302</v>
      </c>
      <c r="V12" s="148"/>
      <c r="W12" s="149"/>
      <c r="X12" s="50">
        <v>494.247973204</v>
      </c>
      <c r="Z12" s="147" t="s">
        <v>302</v>
      </c>
      <c r="AA12" s="148"/>
      <c r="AB12" s="149"/>
      <c r="AC12" s="50">
        <v>52.53</v>
      </c>
      <c r="AE12" s="147" t="s">
        <v>302</v>
      </c>
      <c r="AF12" s="148"/>
      <c r="AG12" s="149"/>
      <c r="AH12" s="50">
        <v>0</v>
      </c>
      <c r="AI12" s="70"/>
      <c r="AJ12" s="147" t="s">
        <v>302</v>
      </c>
      <c r="AK12" s="148"/>
      <c r="AL12" s="149"/>
      <c r="AM12" s="50">
        <f t="shared" si="0"/>
        <v>739.51918789899992</v>
      </c>
    </row>
    <row r="13" spans="1:39" ht="17.25" thickBot="1">
      <c r="A13" s="147" t="s">
        <v>297</v>
      </c>
      <c r="B13" s="148"/>
      <c r="C13" s="149"/>
      <c r="D13" s="50">
        <v>302.27000000000004</v>
      </c>
      <c r="F13" s="147" t="s">
        <v>297</v>
      </c>
      <c r="G13" s="148"/>
      <c r="H13" s="149"/>
      <c r="I13" s="50">
        <v>0</v>
      </c>
      <c r="K13" s="147" t="s">
        <v>297</v>
      </c>
      <c r="L13" s="148"/>
      <c r="M13" s="149"/>
      <c r="N13" s="50">
        <v>565.64800000000002</v>
      </c>
      <c r="P13" s="147" t="s">
        <v>297</v>
      </c>
      <c r="Q13" s="148"/>
      <c r="R13" s="149"/>
      <c r="S13" s="50">
        <v>592.61</v>
      </c>
      <c r="U13" s="147" t="s">
        <v>297</v>
      </c>
      <c r="V13" s="148"/>
      <c r="W13" s="149"/>
      <c r="X13" s="50">
        <v>347.82</v>
      </c>
      <c r="Z13" s="147" t="s">
        <v>297</v>
      </c>
      <c r="AA13" s="148"/>
      <c r="AB13" s="149"/>
      <c r="AC13" s="50">
        <v>0</v>
      </c>
      <c r="AE13" s="147" t="s">
        <v>297</v>
      </c>
      <c r="AF13" s="148"/>
      <c r="AG13" s="149"/>
      <c r="AH13" s="50">
        <v>0</v>
      </c>
      <c r="AI13" s="70"/>
      <c r="AJ13" s="147" t="s">
        <v>297</v>
      </c>
      <c r="AK13" s="148"/>
      <c r="AL13" s="149"/>
      <c r="AM13" s="50">
        <f t="shared" si="0"/>
        <v>1808.3480000000002</v>
      </c>
    </row>
    <row r="14" spans="1:39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v>875.91</v>
      </c>
      <c r="P14" s="147" t="s">
        <v>43</v>
      </c>
      <c r="Q14" s="148"/>
      <c r="R14" s="149"/>
      <c r="S14" s="50">
        <v>875.91</v>
      </c>
      <c r="U14" s="147" t="s">
        <v>43</v>
      </c>
      <c r="V14" s="148"/>
      <c r="W14" s="149"/>
      <c r="X14" s="50">
        <v>875.91399999999999</v>
      </c>
      <c r="Z14" s="147" t="s">
        <v>43</v>
      </c>
      <c r="AA14" s="148"/>
      <c r="AB14" s="149"/>
      <c r="AC14" s="50">
        <v>875.91</v>
      </c>
      <c r="AE14" s="147" t="s">
        <v>43</v>
      </c>
      <c r="AF14" s="148"/>
      <c r="AG14" s="149"/>
      <c r="AH14" s="50">
        <v>884.39999999999986</v>
      </c>
      <c r="AI14" s="70"/>
      <c r="AJ14" s="147" t="s">
        <v>43</v>
      </c>
      <c r="AK14" s="148"/>
      <c r="AL14" s="149"/>
      <c r="AM14" s="50">
        <f t="shared" si="0"/>
        <v>5263.9539999999997</v>
      </c>
    </row>
    <row r="15" spans="1:39" ht="17.25" thickBot="1">
      <c r="A15" s="147" t="s">
        <v>44</v>
      </c>
      <c r="B15" s="148"/>
      <c r="C15" s="149"/>
      <c r="D15" s="50">
        <v>513.27</v>
      </c>
      <c r="F15" s="147" t="s">
        <v>44</v>
      </c>
      <c r="G15" s="148"/>
      <c r="H15" s="149"/>
      <c r="I15" s="50">
        <v>135</v>
      </c>
      <c r="K15" s="147" t="s">
        <v>44</v>
      </c>
      <c r="L15" s="148"/>
      <c r="M15" s="149"/>
      <c r="N15" s="50">
        <v>386.08</v>
      </c>
      <c r="P15" s="147" t="s">
        <v>44</v>
      </c>
      <c r="Q15" s="148"/>
      <c r="R15" s="149"/>
      <c r="S15" s="50">
        <v>403.04</v>
      </c>
      <c r="U15" s="147" t="s">
        <v>44</v>
      </c>
      <c r="V15" s="148"/>
      <c r="W15" s="149"/>
      <c r="X15" s="50">
        <v>794.78</v>
      </c>
      <c r="Z15" s="147" t="s">
        <v>44</v>
      </c>
      <c r="AA15" s="148"/>
      <c r="AB15" s="149"/>
      <c r="AC15" s="50">
        <v>236.10000000000002</v>
      </c>
      <c r="AE15" s="147" t="s">
        <v>44</v>
      </c>
      <c r="AF15" s="148"/>
      <c r="AG15" s="149"/>
      <c r="AH15" s="50">
        <v>465</v>
      </c>
      <c r="AI15" s="70"/>
      <c r="AJ15" s="147" t="s">
        <v>44</v>
      </c>
      <c r="AK15" s="148"/>
      <c r="AL15" s="149"/>
      <c r="AM15" s="50">
        <f t="shared" si="0"/>
        <v>2933.27</v>
      </c>
    </row>
    <row r="16" spans="1:39" ht="17.25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0</v>
      </c>
      <c r="K16" s="147" t="s">
        <v>298</v>
      </c>
      <c r="L16" s="148"/>
      <c r="M16" s="149"/>
      <c r="N16" s="50">
        <v>300</v>
      </c>
      <c r="P16" s="147" t="s">
        <v>298</v>
      </c>
      <c r="Q16" s="148"/>
      <c r="R16" s="149"/>
      <c r="S16" s="50">
        <v>0</v>
      </c>
      <c r="U16" s="147" t="s">
        <v>298</v>
      </c>
      <c r="V16" s="148"/>
      <c r="W16" s="149"/>
      <c r="X16" s="50">
        <v>172.5</v>
      </c>
      <c r="Z16" s="147" t="s">
        <v>298</v>
      </c>
      <c r="AA16" s="148"/>
      <c r="AB16" s="149"/>
      <c r="AC16" s="50">
        <v>0</v>
      </c>
      <c r="AE16" s="147" t="s">
        <v>298</v>
      </c>
      <c r="AF16" s="148"/>
      <c r="AG16" s="149"/>
      <c r="AH16" s="50">
        <v>791</v>
      </c>
      <c r="AI16" s="70"/>
      <c r="AJ16" s="147" t="s">
        <v>298</v>
      </c>
      <c r="AK16" s="148"/>
      <c r="AL16" s="149"/>
      <c r="AM16" s="50">
        <f t="shared" si="0"/>
        <v>1563.5</v>
      </c>
    </row>
    <row r="17" spans="1:39" ht="17.25" thickBot="1">
      <c r="A17" s="153" t="s">
        <v>48</v>
      </c>
      <c r="B17" s="154"/>
      <c r="C17" s="155"/>
      <c r="D17" s="52">
        <f>SUM(D10:D16)</f>
        <v>1405.712032168</v>
      </c>
      <c r="F17" s="153" t="s">
        <v>48</v>
      </c>
      <c r="G17" s="154"/>
      <c r="H17" s="155"/>
      <c r="I17" s="52">
        <f>SUM(I10:I16)</f>
        <v>1194.9099999999999</v>
      </c>
      <c r="K17" s="153" t="s">
        <v>48</v>
      </c>
      <c r="L17" s="154"/>
      <c r="M17" s="155"/>
      <c r="N17" s="52">
        <f>SUM(N10:N16)</f>
        <v>2411.6379999999999</v>
      </c>
      <c r="P17" s="153" t="s">
        <v>48</v>
      </c>
      <c r="Q17" s="154"/>
      <c r="R17" s="155"/>
      <c r="S17" s="52">
        <f>SUM(S10:S16)</f>
        <v>2142.129182527</v>
      </c>
      <c r="U17" s="153" t="s">
        <v>48</v>
      </c>
      <c r="V17" s="154"/>
      <c r="W17" s="155"/>
      <c r="X17" s="52">
        <f>SUM(X10:X16)</f>
        <v>2949.2619732040002</v>
      </c>
      <c r="Z17" s="153" t="s">
        <v>48</v>
      </c>
      <c r="AA17" s="154"/>
      <c r="AB17" s="155"/>
      <c r="AC17" s="52">
        <f>SUM(AC10:AC16)</f>
        <v>1302.9899999999998</v>
      </c>
      <c r="AE17" s="153" t="s">
        <v>48</v>
      </c>
      <c r="AF17" s="154"/>
      <c r="AG17" s="155"/>
      <c r="AH17" s="52">
        <f>SUM(AH10:AH16)</f>
        <v>2140.3999999999996</v>
      </c>
      <c r="AI17" s="70"/>
      <c r="AJ17" s="153" t="s">
        <v>48</v>
      </c>
      <c r="AK17" s="154"/>
      <c r="AL17" s="155"/>
      <c r="AM17" s="52">
        <f>D17+I17+N17+S17+X17+AC17+AH17</f>
        <v>13547.041187899</v>
      </c>
    </row>
    <row r="18" spans="1:39" ht="17.25" thickBot="1">
      <c r="A18" s="156" t="s">
        <v>10</v>
      </c>
      <c r="B18" s="157"/>
      <c r="C18" s="158"/>
      <c r="D18" s="53">
        <f>D9-D17</f>
        <v>20552.983620005914</v>
      </c>
      <c r="F18" s="156" t="s">
        <v>10</v>
      </c>
      <c r="G18" s="157"/>
      <c r="H18" s="158"/>
      <c r="I18" s="53">
        <f>I9-I17</f>
        <v>16505.959565217392</v>
      </c>
      <c r="K18" s="156" t="s">
        <v>10</v>
      </c>
      <c r="L18" s="157"/>
      <c r="M18" s="158"/>
      <c r="N18" s="53">
        <f>N9-N17</f>
        <v>25235.966347826088</v>
      </c>
      <c r="P18" s="156" t="s">
        <v>10</v>
      </c>
      <c r="Q18" s="157"/>
      <c r="R18" s="158"/>
      <c r="S18" s="53">
        <f>S9-S17</f>
        <v>21527.496904429521</v>
      </c>
      <c r="U18" s="156" t="s">
        <v>10</v>
      </c>
      <c r="V18" s="157"/>
      <c r="W18" s="158"/>
      <c r="X18" s="53">
        <f>X9-X17</f>
        <v>43212.81628766557</v>
      </c>
      <c r="Z18" s="156" t="s">
        <v>10</v>
      </c>
      <c r="AA18" s="157"/>
      <c r="AB18" s="158"/>
      <c r="AC18" s="53">
        <f>AC9-AC17</f>
        <v>10564.862173913045</v>
      </c>
      <c r="AE18" s="156" t="s">
        <v>10</v>
      </c>
      <c r="AF18" s="157"/>
      <c r="AG18" s="158"/>
      <c r="AH18" s="53">
        <f>AH9-AH17</f>
        <v>-2140.3999999999996</v>
      </c>
      <c r="AI18" s="70"/>
      <c r="AJ18" s="156" t="s">
        <v>10</v>
      </c>
      <c r="AK18" s="157"/>
      <c r="AL18" s="158"/>
      <c r="AM18" s="53">
        <f t="shared" si="0"/>
        <v>135459.68489905755</v>
      </c>
    </row>
    <row r="19" spans="1:39" ht="17.25" thickBot="1">
      <c r="A19" s="147" t="s">
        <v>20</v>
      </c>
      <c r="B19" s="148"/>
      <c r="C19" s="149"/>
      <c r="D19" s="50">
        <f>D18*0.3</f>
        <v>6165.895086001774</v>
      </c>
      <c r="F19" s="147" t="s">
        <v>20</v>
      </c>
      <c r="G19" s="148"/>
      <c r="H19" s="149"/>
      <c r="I19" s="50">
        <f>I18*0.3</f>
        <v>4951.7878695652171</v>
      </c>
      <c r="K19" s="147" t="s">
        <v>20</v>
      </c>
      <c r="L19" s="148"/>
      <c r="M19" s="149"/>
      <c r="N19" s="50">
        <f>N18*0.3</f>
        <v>7570.7899043478265</v>
      </c>
      <c r="P19" s="147" t="s">
        <v>20</v>
      </c>
      <c r="Q19" s="148"/>
      <c r="R19" s="149"/>
      <c r="S19" s="50">
        <f>S18*0.3</f>
        <v>6458.2490713288562</v>
      </c>
      <c r="U19" s="147" t="s">
        <v>20</v>
      </c>
      <c r="V19" s="148"/>
      <c r="W19" s="149"/>
      <c r="X19" s="50">
        <f>X18*0.3</f>
        <v>12963.84488629967</v>
      </c>
      <c r="Z19" s="147" t="s">
        <v>20</v>
      </c>
      <c r="AA19" s="148"/>
      <c r="AB19" s="149"/>
      <c r="AC19" s="50">
        <f>AC18*0.3</f>
        <v>3169.4586521739134</v>
      </c>
      <c r="AE19" s="147"/>
      <c r="AF19" s="148"/>
      <c r="AG19" s="149"/>
      <c r="AH19" s="50">
        <v>0</v>
      </c>
      <c r="AI19" s="70"/>
      <c r="AJ19" s="147" t="s">
        <v>20</v>
      </c>
      <c r="AK19" s="148"/>
      <c r="AL19" s="149"/>
      <c r="AM19" s="50">
        <f t="shared" si="0"/>
        <v>41280.02546971725</v>
      </c>
    </row>
    <row r="20" spans="1:39" ht="17.25" thickBot="1">
      <c r="A20" s="159" t="s">
        <v>21</v>
      </c>
      <c r="B20" s="160"/>
      <c r="C20" s="161"/>
      <c r="D20" s="54">
        <f>D18-D19</f>
        <v>14387.08853400414</v>
      </c>
      <c r="F20" s="159" t="s">
        <v>21</v>
      </c>
      <c r="G20" s="160"/>
      <c r="H20" s="161"/>
      <c r="I20" s="54">
        <f>I18-I19</f>
        <v>11554.171695652174</v>
      </c>
      <c r="K20" s="159" t="s">
        <v>21</v>
      </c>
      <c r="L20" s="160"/>
      <c r="M20" s="161"/>
      <c r="N20" s="54">
        <f>N18-N19</f>
        <v>17665.17644347826</v>
      </c>
      <c r="P20" s="159" t="s">
        <v>21</v>
      </c>
      <c r="Q20" s="160"/>
      <c r="R20" s="161"/>
      <c r="S20" s="54">
        <f>S18-S19</f>
        <v>15069.247833100664</v>
      </c>
      <c r="U20" s="159" t="s">
        <v>21</v>
      </c>
      <c r="V20" s="160"/>
      <c r="W20" s="161"/>
      <c r="X20" s="54">
        <f>X18-X19</f>
        <v>30248.9714013659</v>
      </c>
      <c r="Z20" s="159" t="s">
        <v>21</v>
      </c>
      <c r="AA20" s="160"/>
      <c r="AB20" s="161"/>
      <c r="AC20" s="54">
        <f>AC18-AC19</f>
        <v>7395.403521739132</v>
      </c>
      <c r="AE20" s="159" t="s">
        <v>322</v>
      </c>
      <c r="AF20" s="160"/>
      <c r="AG20" s="161"/>
      <c r="AH20" s="54">
        <f>AH18-AH19</f>
        <v>-2140.3999999999996</v>
      </c>
      <c r="AI20" s="70"/>
      <c r="AJ20" s="159" t="s">
        <v>21</v>
      </c>
      <c r="AK20" s="160"/>
      <c r="AL20" s="161"/>
      <c r="AM20" s="54">
        <f t="shared" si="0"/>
        <v>94179.659429340274</v>
      </c>
    </row>
    <row r="21" spans="1:39" ht="17.25" thickBot="1">
      <c r="A21" s="147" t="s">
        <v>11</v>
      </c>
      <c r="B21" s="148"/>
      <c r="C21" s="149"/>
      <c r="D21" s="50">
        <v>0</v>
      </c>
      <c r="F21" s="147" t="s">
        <v>11</v>
      </c>
      <c r="G21" s="148"/>
      <c r="H21" s="149"/>
      <c r="I21" s="50">
        <v>0</v>
      </c>
      <c r="K21" s="147" t="s">
        <v>11</v>
      </c>
      <c r="L21" s="148"/>
      <c r="M21" s="149"/>
      <c r="N21" s="50">
        <v>0</v>
      </c>
      <c r="P21" s="147" t="s">
        <v>11</v>
      </c>
      <c r="Q21" s="148"/>
      <c r="R21" s="149"/>
      <c r="S21" s="50">
        <v>0</v>
      </c>
      <c r="U21" s="147" t="s">
        <v>11</v>
      </c>
      <c r="V21" s="148"/>
      <c r="W21" s="149"/>
      <c r="X21" s="50">
        <v>0</v>
      </c>
      <c r="Z21" s="147" t="s">
        <v>11</v>
      </c>
      <c r="AA21" s="148"/>
      <c r="AB21" s="149"/>
      <c r="AC21" s="50">
        <v>0</v>
      </c>
      <c r="AE21" s="147" t="s">
        <v>11</v>
      </c>
      <c r="AF21" s="148"/>
      <c r="AG21" s="149"/>
      <c r="AH21" s="50">
        <v>0</v>
      </c>
      <c r="AI21" s="70"/>
      <c r="AJ21" s="147" t="s">
        <v>11</v>
      </c>
      <c r="AK21" s="148"/>
      <c r="AL21" s="149"/>
      <c r="AM21" s="50">
        <f t="shared" si="0"/>
        <v>0</v>
      </c>
    </row>
    <row r="22" spans="1:39" ht="17.25" thickBot="1">
      <c r="A22" s="150" t="s">
        <v>12</v>
      </c>
      <c r="B22" s="151"/>
      <c r="C22" s="152"/>
      <c r="D22" s="51">
        <f>D20-D21</f>
        <v>14387.08853400414</v>
      </c>
      <c r="F22" s="150" t="s">
        <v>12</v>
      </c>
      <c r="G22" s="151"/>
      <c r="H22" s="152"/>
      <c r="I22" s="51">
        <f>I20-I21</f>
        <v>11554.171695652174</v>
      </c>
      <c r="K22" s="150" t="s">
        <v>12</v>
      </c>
      <c r="L22" s="151"/>
      <c r="M22" s="152"/>
      <c r="N22" s="51">
        <f>N20-N21</f>
        <v>17665.17644347826</v>
      </c>
      <c r="P22" s="150" t="s">
        <v>12</v>
      </c>
      <c r="Q22" s="151"/>
      <c r="R22" s="152"/>
      <c r="S22" s="51">
        <f>S20-S21</f>
        <v>15069.247833100664</v>
      </c>
      <c r="U22" s="150" t="s">
        <v>12</v>
      </c>
      <c r="V22" s="151"/>
      <c r="W22" s="152"/>
      <c r="X22" s="51">
        <f>X20-X21</f>
        <v>30248.9714013659</v>
      </c>
      <c r="Z22" s="150" t="s">
        <v>12</v>
      </c>
      <c r="AA22" s="151"/>
      <c r="AB22" s="152"/>
      <c r="AC22" s="51">
        <f>AC20-AC21</f>
        <v>7395.403521739132</v>
      </c>
      <c r="AE22" s="150" t="s">
        <v>12</v>
      </c>
      <c r="AF22" s="151"/>
      <c r="AG22" s="152"/>
      <c r="AH22" s="51">
        <f>AH20-AH21</f>
        <v>-2140.3999999999996</v>
      </c>
      <c r="AI22" s="70"/>
      <c r="AJ22" s="150" t="s">
        <v>12</v>
      </c>
      <c r="AK22" s="151"/>
      <c r="AL22" s="152"/>
      <c r="AM22" s="51">
        <f t="shared" si="0"/>
        <v>94179.659429340274</v>
      </c>
    </row>
    <row r="23" spans="1:39" ht="17.25" thickBot="1">
      <c r="A23" s="150" t="s">
        <v>299</v>
      </c>
      <c r="B23" s="151" t="s">
        <v>299</v>
      </c>
      <c r="C23" s="152"/>
      <c r="D23" s="51">
        <v>13833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v>11346</v>
      </c>
      <c r="P23" s="150" t="s">
        <v>299</v>
      </c>
      <c r="Q23" s="151" t="s">
        <v>299</v>
      </c>
      <c r="R23" s="152"/>
      <c r="S23" s="51">
        <v>17426</v>
      </c>
      <c r="U23" s="150" t="s">
        <v>299</v>
      </c>
      <c r="V23" s="151" t="s">
        <v>299</v>
      </c>
      <c r="W23" s="152"/>
      <c r="X23" s="51">
        <v>24604</v>
      </c>
      <c r="Z23" s="150" t="s">
        <v>299</v>
      </c>
      <c r="AA23" s="151" t="s">
        <v>299</v>
      </c>
      <c r="AB23" s="152"/>
      <c r="AC23" s="51"/>
      <c r="AE23" s="150" t="s">
        <v>299</v>
      </c>
      <c r="AF23" s="151" t="s">
        <v>299</v>
      </c>
      <c r="AG23" s="152"/>
      <c r="AH23" s="51"/>
      <c r="AJ23" s="150" t="s">
        <v>299</v>
      </c>
      <c r="AK23" s="151" t="s">
        <v>299</v>
      </c>
      <c r="AL23" s="152"/>
      <c r="AM23" s="51">
        <f t="shared" si="0"/>
        <v>67209</v>
      </c>
    </row>
    <row r="24" spans="1:39" ht="17.25" thickBot="1">
      <c r="A24" s="150" t="s">
        <v>300</v>
      </c>
      <c r="B24" s="151" t="s">
        <v>300</v>
      </c>
      <c r="C24" s="152"/>
      <c r="D24" s="51">
        <f>SUM(D22:D23)</f>
        <v>28220.088534004142</v>
      </c>
      <c r="F24" s="150" t="s">
        <v>300</v>
      </c>
      <c r="G24" s="151" t="s">
        <v>300</v>
      </c>
      <c r="H24" s="152"/>
      <c r="I24" s="51">
        <f>SUM(I22:I23)</f>
        <v>11554.171695652174</v>
      </c>
      <c r="K24" s="150" t="s">
        <v>300</v>
      </c>
      <c r="L24" s="151" t="s">
        <v>300</v>
      </c>
      <c r="M24" s="152"/>
      <c r="N24" s="51">
        <f>SUM(N22:N23)</f>
        <v>29011.17644347826</v>
      </c>
      <c r="P24" s="150" t="s">
        <v>300</v>
      </c>
      <c r="Q24" s="151" t="s">
        <v>300</v>
      </c>
      <c r="R24" s="152"/>
      <c r="S24" s="51">
        <f>SUM(S22:S23)</f>
        <v>32495.247833100664</v>
      </c>
      <c r="U24" s="150" t="s">
        <v>300</v>
      </c>
      <c r="V24" s="151" t="s">
        <v>300</v>
      </c>
      <c r="W24" s="152"/>
      <c r="X24" s="51">
        <f>SUM(X22:X23)</f>
        <v>54852.971401365896</v>
      </c>
      <c r="Z24" s="150" t="s">
        <v>300</v>
      </c>
      <c r="AA24" s="151" t="s">
        <v>300</v>
      </c>
      <c r="AB24" s="152"/>
      <c r="AC24" s="51">
        <f>SUM(AC22:AC23)</f>
        <v>7395.403521739132</v>
      </c>
      <c r="AE24" s="150" t="s">
        <v>300</v>
      </c>
      <c r="AF24" s="151" t="s">
        <v>300</v>
      </c>
      <c r="AG24" s="152"/>
      <c r="AH24" s="51">
        <f>SUM(AH22:AH23)</f>
        <v>-2140.3999999999996</v>
      </c>
      <c r="AJ24" s="150" t="s">
        <v>300</v>
      </c>
      <c r="AK24" s="151" t="s">
        <v>300</v>
      </c>
      <c r="AL24" s="152"/>
      <c r="AM24" s="51">
        <f t="shared" si="0"/>
        <v>161388.65942934024</v>
      </c>
    </row>
    <row r="27" spans="1:39">
      <c r="AL27" s="116"/>
    </row>
  </sheetData>
  <mergeCells count="200">
    <mergeCell ref="AE18:AG18"/>
    <mergeCell ref="AE19:AG19"/>
    <mergeCell ref="AE20:AG20"/>
    <mergeCell ref="AE21:AG21"/>
    <mergeCell ref="AE22:AG22"/>
    <mergeCell ref="AE23:AG23"/>
    <mergeCell ref="AE24:AG24"/>
    <mergeCell ref="AE9:AG9"/>
    <mergeCell ref="AE10:AG10"/>
    <mergeCell ref="AE11:AG11"/>
    <mergeCell ref="AE12:AG12"/>
    <mergeCell ref="AE13:AG13"/>
    <mergeCell ref="AE14:AG14"/>
    <mergeCell ref="AE15:AG15"/>
    <mergeCell ref="AE16:AG16"/>
    <mergeCell ref="AE17:AG17"/>
    <mergeCell ref="AE1:AH1"/>
    <mergeCell ref="AE2:AF2"/>
    <mergeCell ref="AG2:AH2"/>
    <mergeCell ref="AE3:AF3"/>
    <mergeCell ref="AG3:AH3"/>
    <mergeCell ref="AE5:AG5"/>
    <mergeCell ref="AE6:AG6"/>
    <mergeCell ref="AE7:AG7"/>
    <mergeCell ref="AE8:AG8"/>
    <mergeCell ref="AJ17:AL17"/>
    <mergeCell ref="AJ18:AL18"/>
    <mergeCell ref="AJ19:AL19"/>
    <mergeCell ref="AJ20:AL20"/>
    <mergeCell ref="AJ21:AL21"/>
    <mergeCell ref="AJ22:AL22"/>
    <mergeCell ref="AJ13:AL13"/>
    <mergeCell ref="AJ14:AL14"/>
    <mergeCell ref="AJ15:AL15"/>
    <mergeCell ref="AJ16:AL16"/>
    <mergeCell ref="AJ6:AL6"/>
    <mergeCell ref="AJ7:AL7"/>
    <mergeCell ref="AJ9:AL9"/>
    <mergeCell ref="AJ10:AL10"/>
    <mergeCell ref="AJ11:AL11"/>
    <mergeCell ref="AJ12:AL12"/>
    <mergeCell ref="AJ1:AM1"/>
    <mergeCell ref="AJ2:AK2"/>
    <mergeCell ref="AL2:AM2"/>
    <mergeCell ref="AJ3:AK3"/>
    <mergeCell ref="AL3:AM3"/>
    <mergeCell ref="AJ5:AL5"/>
    <mergeCell ref="AJ8:AL8"/>
    <mergeCell ref="U17:W17"/>
    <mergeCell ref="U18:W18"/>
    <mergeCell ref="U19:W19"/>
    <mergeCell ref="U20:W20"/>
    <mergeCell ref="U21:W21"/>
    <mergeCell ref="U22:W22"/>
    <mergeCell ref="U13:W13"/>
    <mergeCell ref="U14:W14"/>
    <mergeCell ref="U15:W15"/>
    <mergeCell ref="U16:W16"/>
    <mergeCell ref="U6:W6"/>
    <mergeCell ref="U7:W7"/>
    <mergeCell ref="U9:W9"/>
    <mergeCell ref="U10:W10"/>
    <mergeCell ref="U11:W11"/>
    <mergeCell ref="U12:W12"/>
    <mergeCell ref="U1:X1"/>
    <mergeCell ref="U2:V2"/>
    <mergeCell ref="W2:X2"/>
    <mergeCell ref="U3:V3"/>
    <mergeCell ref="W3:X3"/>
    <mergeCell ref="U5:W5"/>
    <mergeCell ref="U8:W8"/>
    <mergeCell ref="P17:R17"/>
    <mergeCell ref="P18:R18"/>
    <mergeCell ref="P19:R19"/>
    <mergeCell ref="P20:R20"/>
    <mergeCell ref="P21:R21"/>
    <mergeCell ref="P22:R22"/>
    <mergeCell ref="P13:R13"/>
    <mergeCell ref="P14:R14"/>
    <mergeCell ref="P15:R15"/>
    <mergeCell ref="P16:R16"/>
    <mergeCell ref="P6:R6"/>
    <mergeCell ref="P7:R7"/>
    <mergeCell ref="P9:R9"/>
    <mergeCell ref="P10:R10"/>
    <mergeCell ref="P11:R11"/>
    <mergeCell ref="P12:R12"/>
    <mergeCell ref="P1:S1"/>
    <mergeCell ref="P2:Q2"/>
    <mergeCell ref="R2:S2"/>
    <mergeCell ref="P3:Q3"/>
    <mergeCell ref="R3:S3"/>
    <mergeCell ref="P5:R5"/>
    <mergeCell ref="P8:R8"/>
    <mergeCell ref="K17:M17"/>
    <mergeCell ref="K18:M18"/>
    <mergeCell ref="K19:M19"/>
    <mergeCell ref="K20:M20"/>
    <mergeCell ref="K21:M21"/>
    <mergeCell ref="K22:M22"/>
    <mergeCell ref="K13:M13"/>
    <mergeCell ref="K14:M14"/>
    <mergeCell ref="K15:M15"/>
    <mergeCell ref="K16:M16"/>
    <mergeCell ref="K6:M6"/>
    <mergeCell ref="K7:M7"/>
    <mergeCell ref="K9:M9"/>
    <mergeCell ref="K10:M10"/>
    <mergeCell ref="K11:M11"/>
    <mergeCell ref="K12:M12"/>
    <mergeCell ref="K1:N1"/>
    <mergeCell ref="K2:L2"/>
    <mergeCell ref="M2:N2"/>
    <mergeCell ref="K3:L3"/>
    <mergeCell ref="M3:N3"/>
    <mergeCell ref="K5:M5"/>
    <mergeCell ref="K8:M8"/>
    <mergeCell ref="F17:H1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6:H6"/>
    <mergeCell ref="F7:H7"/>
    <mergeCell ref="F9:H9"/>
    <mergeCell ref="F10:H10"/>
    <mergeCell ref="F11:H11"/>
    <mergeCell ref="F12:H12"/>
    <mergeCell ref="F1:I1"/>
    <mergeCell ref="F2:G2"/>
    <mergeCell ref="H2:I2"/>
    <mergeCell ref="F3:G3"/>
    <mergeCell ref="H3:I3"/>
    <mergeCell ref="F5:H5"/>
    <mergeCell ref="F8:H8"/>
    <mergeCell ref="A17:C17"/>
    <mergeCell ref="A18:C18"/>
    <mergeCell ref="A19:C19"/>
    <mergeCell ref="A20:C20"/>
    <mergeCell ref="A21:C21"/>
    <mergeCell ref="A22:C22"/>
    <mergeCell ref="A13:C13"/>
    <mergeCell ref="A14:C14"/>
    <mergeCell ref="A15:C15"/>
    <mergeCell ref="A16:C16"/>
    <mergeCell ref="A6:C6"/>
    <mergeCell ref="A7:C7"/>
    <mergeCell ref="A9:C9"/>
    <mergeCell ref="A10:C10"/>
    <mergeCell ref="A11:C11"/>
    <mergeCell ref="A12:C12"/>
    <mergeCell ref="A1:D1"/>
    <mergeCell ref="A2:B2"/>
    <mergeCell ref="C2:D2"/>
    <mergeCell ref="A3:B3"/>
    <mergeCell ref="C3:D3"/>
    <mergeCell ref="A5:C5"/>
    <mergeCell ref="A8:C8"/>
    <mergeCell ref="Z1:AC1"/>
    <mergeCell ref="Z2:AA2"/>
    <mergeCell ref="AB2:AC2"/>
    <mergeCell ref="Z3:AA3"/>
    <mergeCell ref="AB3:AC3"/>
    <mergeCell ref="Z5:AB5"/>
    <mergeCell ref="Z6:AB6"/>
    <mergeCell ref="Z7:AB7"/>
    <mergeCell ref="Z9:AB9"/>
    <mergeCell ref="Z8:AB8"/>
    <mergeCell ref="Z17:AB17"/>
    <mergeCell ref="Z18:AB18"/>
    <mergeCell ref="Z19:AB19"/>
    <mergeCell ref="Z20:AB20"/>
    <mergeCell ref="Z21:AB21"/>
    <mergeCell ref="Z22:AB22"/>
    <mergeCell ref="Z10:AB10"/>
    <mergeCell ref="Z11:AB11"/>
    <mergeCell ref="Z12:AB12"/>
    <mergeCell ref="Z13:AB13"/>
    <mergeCell ref="Z14:AB14"/>
    <mergeCell ref="Z15:AB15"/>
    <mergeCell ref="Z16:AB16"/>
    <mergeCell ref="Z23:AB23"/>
    <mergeCell ref="Z24:AB24"/>
    <mergeCell ref="AJ23:AL23"/>
    <mergeCell ref="AJ24:AL24"/>
    <mergeCell ref="A23:C23"/>
    <mergeCell ref="A24:C24"/>
    <mergeCell ref="F23:H23"/>
    <mergeCell ref="F24:H24"/>
    <mergeCell ref="K23:M23"/>
    <mergeCell ref="K24:M24"/>
    <mergeCell ref="P23:R23"/>
    <mergeCell ref="P24:R24"/>
    <mergeCell ref="U23:W23"/>
    <mergeCell ref="U24:W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111E-EBE0-416C-B960-50723087B184}">
  <sheetPr>
    <tabColor rgb="FF66FFFF"/>
  </sheetPr>
  <dimension ref="A1:D27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106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107</v>
      </c>
      <c r="D2" s="137"/>
    </row>
    <row r="3" spans="1:4" ht="21" thickBot="1">
      <c r="A3" s="136" t="s">
        <v>2</v>
      </c>
      <c r="B3" s="136"/>
      <c r="C3" s="142" t="s">
        <v>108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27776.095652173914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27776.095652173914</v>
      </c>
    </row>
    <row r="10" spans="1:4" ht="17.25" thickBot="1">
      <c r="A10" s="147" t="s">
        <v>39</v>
      </c>
      <c r="B10" s="148"/>
      <c r="C10" s="149"/>
      <c r="D10" s="50">
        <v>221.39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302</v>
      </c>
      <c r="B12" s="148"/>
      <c r="C12" s="149"/>
      <c r="D12" s="50">
        <v>183.75149434600002</v>
      </c>
    </row>
    <row r="13" spans="1:4" ht="17.25" thickBot="1">
      <c r="A13" s="147" t="s">
        <v>297</v>
      </c>
      <c r="B13" s="148"/>
      <c r="C13" s="149"/>
      <c r="D13" s="50">
        <v>449.13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761.08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2491.2654943460002</v>
      </c>
    </row>
    <row r="18" spans="1:4" ht="17.25" thickBot="1">
      <c r="A18" s="156" t="s">
        <v>10</v>
      </c>
      <c r="B18" s="157"/>
      <c r="C18" s="158"/>
      <c r="D18" s="53">
        <f>D9-D17</f>
        <v>25284.830157827913</v>
      </c>
    </row>
    <row r="19" spans="1:4" ht="17.25" thickBot="1">
      <c r="A19" s="147" t="s">
        <v>20</v>
      </c>
      <c r="B19" s="148"/>
      <c r="C19" s="149"/>
      <c r="D19" s="50">
        <f>D18*0.3</f>
        <v>7585.4490473483738</v>
      </c>
    </row>
    <row r="20" spans="1:4" ht="17.25" thickBot="1">
      <c r="A20" s="159" t="s">
        <v>21</v>
      </c>
      <c r="B20" s="160"/>
      <c r="C20" s="161"/>
      <c r="D20" s="54">
        <f>D18-D19</f>
        <v>17699.381110479539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17699.381110479539</v>
      </c>
    </row>
    <row r="23" spans="1:4" ht="17.25" thickBot="1">
      <c r="A23" s="150" t="s">
        <v>299</v>
      </c>
      <c r="B23" s="151" t="s">
        <v>299</v>
      </c>
      <c r="C23" s="152"/>
      <c r="D23" s="51">
        <v>11231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28930.381110479539</v>
      </c>
    </row>
    <row r="25" spans="1:4" ht="16.5">
      <c r="A25" s="12" t="s">
        <v>24</v>
      </c>
      <c r="B25" s="4"/>
      <c r="C25" s="4"/>
      <c r="D25" s="5"/>
    </row>
    <row r="26" spans="1:4">
      <c r="A26" s="15" t="s">
        <v>13</v>
      </c>
      <c r="B26" s="15" t="s">
        <v>14</v>
      </c>
      <c r="C26" s="15" t="s">
        <v>15</v>
      </c>
      <c r="D26" s="16" t="s">
        <v>16</v>
      </c>
    </row>
    <row r="27" spans="1:4" ht="16.5">
      <c r="A27" s="24" t="s">
        <v>282</v>
      </c>
      <c r="B27" s="25">
        <v>45669</v>
      </c>
      <c r="C27" s="26">
        <v>401014602777880</v>
      </c>
      <c r="D27" s="84">
        <v>67.239999999999995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E2A8-C776-46C9-9A6B-1C1CE074DF96}">
  <sheetPr>
    <tabColor rgb="FF66FFFF"/>
  </sheetPr>
  <dimension ref="A1:D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109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107</v>
      </c>
      <c r="D2" s="137"/>
    </row>
    <row r="3" spans="1:4" ht="21" thickBot="1">
      <c r="A3" s="136" t="s">
        <v>2</v>
      </c>
      <c r="B3" s="136"/>
      <c r="C3" s="142" t="s">
        <v>110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27838.695652173919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27838.695652173919</v>
      </c>
    </row>
    <row r="10" spans="1:4" ht="17.25" thickBot="1">
      <c r="A10" s="147" t="s">
        <v>39</v>
      </c>
      <c r="B10" s="148"/>
      <c r="C10" s="149"/>
      <c r="D10" s="50">
        <v>192.69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302</v>
      </c>
      <c r="B12" s="148"/>
      <c r="C12" s="149"/>
      <c r="D12" s="50">
        <v>222.10761854399996</v>
      </c>
    </row>
    <row r="13" spans="1:4" ht="17.25" thickBot="1">
      <c r="A13" s="147" t="s">
        <v>297</v>
      </c>
      <c r="B13" s="148"/>
      <c r="C13" s="149"/>
      <c r="D13" s="50">
        <f>150+340.43</f>
        <v>490.43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656.08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2437.2216185440002</v>
      </c>
    </row>
    <row r="18" spans="1:4" ht="17.25" thickBot="1">
      <c r="A18" s="156" t="s">
        <v>10</v>
      </c>
      <c r="B18" s="157"/>
      <c r="C18" s="158"/>
      <c r="D18" s="53">
        <f>D9-D17</f>
        <v>25401.474033629918</v>
      </c>
    </row>
    <row r="19" spans="1:4" ht="17.25" thickBot="1">
      <c r="A19" s="147" t="s">
        <v>20</v>
      </c>
      <c r="B19" s="148"/>
      <c r="C19" s="149"/>
      <c r="D19" s="50">
        <f>D18*0.3</f>
        <v>7620.4422100889751</v>
      </c>
    </row>
    <row r="20" spans="1:4" ht="17.25" thickBot="1">
      <c r="A20" s="159" t="s">
        <v>21</v>
      </c>
      <c r="B20" s="160"/>
      <c r="C20" s="161"/>
      <c r="D20" s="54">
        <f>D18-D19</f>
        <v>17781.031823540943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17781.031823540943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17781.031823540943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4BA1-386A-453C-9BDA-23CA4D217813}">
  <sheetPr>
    <tabColor rgb="FF66FFFF"/>
  </sheetPr>
  <dimension ref="A1:D24"/>
  <sheetViews>
    <sheetView rightToLeft="1" workbookViewId="0">
      <selection activeCell="D10" sqref="D10:D16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111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4</v>
      </c>
      <c r="D2" s="137"/>
    </row>
    <row r="3" spans="1:4" ht="21" thickBot="1">
      <c r="A3" s="136" t="s">
        <v>2</v>
      </c>
      <c r="B3" s="136"/>
      <c r="C3" s="142" t="s">
        <v>112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21490.000000000004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21490.000000000004</v>
      </c>
    </row>
    <row r="10" spans="1:4" ht="17.25" thickBot="1">
      <c r="A10" s="147" t="s">
        <v>39</v>
      </c>
      <c r="B10" s="148"/>
      <c r="C10" s="149"/>
      <c r="D10" s="50">
        <v>184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142.16999899000001</v>
      </c>
    </row>
    <row r="13" spans="1:4" ht="17.25" thickBot="1">
      <c r="A13" s="147" t="s">
        <v>297</v>
      </c>
      <c r="B13" s="148"/>
      <c r="C13" s="149"/>
      <c r="D13" s="50">
        <v>454.36999999999995</v>
      </c>
    </row>
    <row r="14" spans="1:4" ht="17.25" thickBot="1">
      <c r="A14" s="147" t="s">
        <v>43</v>
      </c>
      <c r="B14" s="148"/>
      <c r="C14" s="149"/>
      <c r="D14" s="50">
        <v>0</v>
      </c>
    </row>
    <row r="15" spans="1:4" ht="17.25" thickBot="1">
      <c r="A15" s="147" t="s">
        <v>44</v>
      </c>
      <c r="B15" s="148"/>
      <c r="C15" s="149"/>
      <c r="D15" s="50">
        <v>524.3599999999999</v>
      </c>
    </row>
    <row r="16" spans="1:4" ht="17.25" thickBot="1">
      <c r="A16" s="147" t="s">
        <v>298</v>
      </c>
      <c r="B16" s="148"/>
      <c r="C16" s="149"/>
      <c r="D16" s="50">
        <v>300</v>
      </c>
    </row>
    <row r="17" spans="1:4" ht="17.25" thickBot="1">
      <c r="A17" s="153" t="s">
        <v>48</v>
      </c>
      <c r="B17" s="154"/>
      <c r="C17" s="155"/>
      <c r="D17" s="52">
        <f>SUM(D10:D16)</f>
        <v>1604.8999989899999</v>
      </c>
    </row>
    <row r="18" spans="1:4" ht="17.25" thickBot="1">
      <c r="A18" s="156" t="s">
        <v>10</v>
      </c>
      <c r="B18" s="157"/>
      <c r="C18" s="158"/>
      <c r="D18" s="53">
        <f>D9-D17</f>
        <v>19885.100001010003</v>
      </c>
    </row>
    <row r="19" spans="1:4" ht="17.25" thickBot="1">
      <c r="A19" s="147" t="s">
        <v>20</v>
      </c>
      <c r="B19" s="148"/>
      <c r="C19" s="149"/>
      <c r="D19" s="50">
        <f>D18*0.3</f>
        <v>5965.5300003030006</v>
      </c>
    </row>
    <row r="20" spans="1:4" ht="17.25" thickBot="1">
      <c r="A20" s="159" t="s">
        <v>21</v>
      </c>
      <c r="B20" s="160"/>
      <c r="C20" s="161"/>
      <c r="D20" s="54">
        <f>D18-D19</f>
        <v>13919.570000707003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13919.570000707003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13919.570000707003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5873-8E89-4CCE-98FB-47851DF6A894}">
  <sheetPr>
    <tabColor rgb="FF66FFFF"/>
  </sheetPr>
  <dimension ref="A1:E29"/>
  <sheetViews>
    <sheetView rightToLeft="1" workbookViewId="0">
      <selection activeCell="E24" sqref="E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113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85</v>
      </c>
      <c r="D2" s="137"/>
    </row>
    <row r="3" spans="1:4" ht="21" thickBot="1">
      <c r="A3" s="136" t="s">
        <v>2</v>
      </c>
      <c r="B3" s="136"/>
      <c r="C3" s="142" t="s">
        <v>114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11030.921739130437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11030.921739130437</v>
      </c>
    </row>
    <row r="10" spans="1:4" ht="17.25" thickBot="1">
      <c r="A10" s="147" t="s">
        <v>39</v>
      </c>
      <c r="B10" s="148"/>
      <c r="C10" s="149"/>
      <c r="D10" s="50">
        <v>544.56999999999994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83.631980380000002</v>
      </c>
    </row>
    <row r="13" spans="1:4" ht="17.25" thickBot="1">
      <c r="A13" s="147" t="s">
        <v>297</v>
      </c>
      <c r="B13" s="148"/>
      <c r="C13" s="149"/>
      <c r="D13" s="50">
        <v>3155.3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281.08999999999997</v>
      </c>
    </row>
    <row r="16" spans="1:4" ht="17.25" thickBot="1">
      <c r="A16" s="147" t="s">
        <v>298</v>
      </c>
      <c r="B16" s="148"/>
      <c r="C16" s="149"/>
      <c r="D16" s="50">
        <v>601</v>
      </c>
    </row>
    <row r="17" spans="1:5" ht="17.25" thickBot="1">
      <c r="A17" s="153" t="s">
        <v>48</v>
      </c>
      <c r="B17" s="154"/>
      <c r="C17" s="155"/>
      <c r="D17" s="52">
        <f>SUM(D10:D16)</f>
        <v>5541.5059803800004</v>
      </c>
    </row>
    <row r="18" spans="1:5" ht="17.25" thickBot="1">
      <c r="A18" s="156" t="s">
        <v>10</v>
      </c>
      <c r="B18" s="157"/>
      <c r="C18" s="158"/>
      <c r="D18" s="53">
        <f>D9-D17</f>
        <v>5489.4157587504369</v>
      </c>
    </row>
    <row r="19" spans="1:5" ht="17.25" thickBot="1">
      <c r="A19" s="147" t="s">
        <v>20</v>
      </c>
      <c r="B19" s="148"/>
      <c r="C19" s="149"/>
      <c r="D19" s="50">
        <f>D18*0.3</f>
        <v>1646.8247276251311</v>
      </c>
    </row>
    <row r="20" spans="1:5" ht="17.25" thickBot="1">
      <c r="A20" s="159" t="s">
        <v>21</v>
      </c>
      <c r="B20" s="160"/>
      <c r="C20" s="161"/>
      <c r="D20" s="54">
        <f>D18-D19</f>
        <v>3842.5910311253056</v>
      </c>
    </row>
    <row r="21" spans="1:5" ht="17.25" thickBot="1">
      <c r="A21" s="147" t="s">
        <v>11</v>
      </c>
      <c r="B21" s="148"/>
      <c r="C21" s="149"/>
      <c r="D21" s="50">
        <v>0</v>
      </c>
    </row>
    <row r="22" spans="1:5" ht="17.25" thickBot="1">
      <c r="A22" s="150" t="s">
        <v>12</v>
      </c>
      <c r="B22" s="151"/>
      <c r="C22" s="152"/>
      <c r="D22" s="51">
        <f>D20-D21</f>
        <v>3842.5910311253056</v>
      </c>
    </row>
    <row r="23" spans="1:5" ht="17.25" thickBot="1">
      <c r="A23" s="150" t="s">
        <v>299</v>
      </c>
      <c r="B23" s="151" t="s">
        <v>299</v>
      </c>
      <c r="C23" s="152"/>
      <c r="D23" s="51">
        <v>5160</v>
      </c>
    </row>
    <row r="24" spans="1:5" ht="17.25" thickBot="1">
      <c r="A24" s="150" t="s">
        <v>300</v>
      </c>
      <c r="B24" s="151" t="s">
        <v>300</v>
      </c>
      <c r="C24" s="152"/>
      <c r="D24" s="51">
        <f>SUM(D22:D23)</f>
        <v>9002.5910311253065</v>
      </c>
      <c r="E24" s="50"/>
    </row>
    <row r="25" spans="1:5" ht="16.5">
      <c r="A25" s="12" t="s">
        <v>24</v>
      </c>
      <c r="B25" s="4"/>
      <c r="C25" s="4"/>
      <c r="D25" s="5"/>
    </row>
    <row r="26" spans="1:5">
      <c r="A26" s="15" t="s">
        <v>13</v>
      </c>
      <c r="B26" s="15" t="s">
        <v>115</v>
      </c>
      <c r="C26" s="15" t="s">
        <v>25</v>
      </c>
      <c r="D26" s="16" t="s">
        <v>7</v>
      </c>
    </row>
    <row r="27" spans="1:5" ht="24">
      <c r="A27" s="24" t="s">
        <v>116</v>
      </c>
      <c r="B27" s="25">
        <v>45097</v>
      </c>
      <c r="C27" s="26">
        <v>401014401451727</v>
      </c>
      <c r="D27" s="84">
        <v>1593.75</v>
      </c>
    </row>
    <row r="28" spans="1:5" ht="16.5">
      <c r="A28" s="24" t="s">
        <v>275</v>
      </c>
      <c r="B28" s="25">
        <v>45585</v>
      </c>
      <c r="C28" s="26">
        <v>401014602516478</v>
      </c>
      <c r="D28" s="84">
        <v>11724.8</v>
      </c>
    </row>
    <row r="29" spans="1:5" ht="18" customHeight="1">
      <c r="A29" s="182" t="s">
        <v>285</v>
      </c>
      <c r="B29" s="183"/>
      <c r="C29" s="184"/>
      <c r="D29" s="84">
        <f>SUM(D27:D28)</f>
        <v>13318.55</v>
      </c>
    </row>
  </sheetData>
  <mergeCells count="26">
    <mergeCell ref="A29:C29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0F9F-238E-4449-92AF-9CF8C5AAA027}">
  <sheetPr>
    <tabColor rgb="FF66FFFF"/>
  </sheetPr>
  <dimension ref="A1:X27"/>
  <sheetViews>
    <sheetView rightToLeft="1" topLeftCell="I1" workbookViewId="0">
      <selection activeCell="K22" sqref="K22:M22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.62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625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1.625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1.625" customWidth="1"/>
    <col min="21" max="21" width="18" customWidth="1"/>
    <col min="22" max="22" width="12.625" customWidth="1"/>
    <col min="23" max="23" width="27" customWidth="1"/>
    <col min="24" max="24" width="13.375" customWidth="1"/>
  </cols>
  <sheetData>
    <row r="1" spans="1:24" ht="18" thickBot="1">
      <c r="A1" s="135" t="s">
        <v>227</v>
      </c>
      <c r="B1" s="135"/>
      <c r="C1" s="135"/>
      <c r="D1" s="135"/>
      <c r="F1" s="135" t="s">
        <v>227</v>
      </c>
      <c r="G1" s="135"/>
      <c r="H1" s="135"/>
      <c r="I1" s="135"/>
      <c r="K1" s="135" t="s">
        <v>227</v>
      </c>
      <c r="L1" s="135"/>
      <c r="M1" s="135"/>
      <c r="N1" s="135"/>
      <c r="P1" s="135" t="s">
        <v>227</v>
      </c>
      <c r="Q1" s="135"/>
      <c r="R1" s="135"/>
      <c r="S1" s="135"/>
      <c r="U1" s="135" t="s">
        <v>227</v>
      </c>
      <c r="V1" s="135"/>
      <c r="W1" s="135"/>
      <c r="X1" s="135"/>
    </row>
    <row r="2" spans="1:24" ht="18" thickBot="1">
      <c r="A2" s="136" t="s">
        <v>1</v>
      </c>
      <c r="B2" s="136"/>
      <c r="C2" s="137" t="s">
        <v>117</v>
      </c>
      <c r="D2" s="137"/>
      <c r="E2" s="46"/>
      <c r="F2" s="136" t="s">
        <v>1</v>
      </c>
      <c r="G2" s="136"/>
      <c r="H2" s="137" t="s">
        <v>230</v>
      </c>
      <c r="I2" s="137"/>
      <c r="J2" s="46"/>
      <c r="K2" s="136" t="s">
        <v>1</v>
      </c>
      <c r="L2" s="136"/>
      <c r="M2" s="137" t="s">
        <v>230</v>
      </c>
      <c r="N2" s="137"/>
      <c r="O2" s="46"/>
      <c r="P2" s="136" t="s">
        <v>1</v>
      </c>
      <c r="Q2" s="136"/>
      <c r="R2" s="137" t="s">
        <v>230</v>
      </c>
      <c r="S2" s="137"/>
      <c r="U2" s="136" t="s">
        <v>1</v>
      </c>
      <c r="V2" s="136"/>
      <c r="W2" s="137" t="s">
        <v>230</v>
      </c>
      <c r="X2" s="137"/>
    </row>
    <row r="3" spans="1:24" ht="21" thickBot="1">
      <c r="A3" s="136" t="s">
        <v>2</v>
      </c>
      <c r="B3" s="136"/>
      <c r="C3" s="142" t="s">
        <v>118</v>
      </c>
      <c r="D3" s="143"/>
      <c r="E3" s="45"/>
      <c r="F3" s="136" t="s">
        <v>2</v>
      </c>
      <c r="G3" s="136"/>
      <c r="H3" s="142" t="s">
        <v>324</v>
      </c>
      <c r="I3" s="143"/>
      <c r="J3" s="45"/>
      <c r="K3" s="136" t="s">
        <v>2</v>
      </c>
      <c r="L3" s="136"/>
      <c r="M3" s="142" t="s">
        <v>228</v>
      </c>
      <c r="N3" s="143"/>
      <c r="O3" s="45"/>
      <c r="P3" s="136" t="s">
        <v>2</v>
      </c>
      <c r="Q3" s="136"/>
      <c r="R3" s="142" t="s">
        <v>229</v>
      </c>
      <c r="S3" s="143"/>
      <c r="U3" s="136" t="s">
        <v>2</v>
      </c>
      <c r="V3" s="136"/>
      <c r="W3" s="190" t="str">
        <f>R3&amp; "-  "&amp;M3&amp;"-  "&amp;H3&amp;" - "&amp;C3</f>
        <v>ر ن ع 5364-  ر ن ع 5362-  ر ن ع 5363 - ر ا ه 8781</v>
      </c>
      <c r="X3" s="191"/>
    </row>
    <row r="4" spans="1:24" ht="15" thickBot="1">
      <c r="A4" s="4"/>
      <c r="B4" s="4"/>
      <c r="C4" s="4"/>
      <c r="D4" s="5"/>
      <c r="F4" s="4"/>
      <c r="G4" s="4"/>
      <c r="H4" s="4"/>
      <c r="I4" s="5" t="s">
        <v>307</v>
      </c>
      <c r="K4" s="4"/>
      <c r="L4" s="4"/>
      <c r="M4" s="4"/>
      <c r="N4" s="5" t="s">
        <v>307</v>
      </c>
      <c r="P4" s="4"/>
      <c r="Q4" s="4"/>
      <c r="R4" s="4"/>
      <c r="S4" s="5" t="s">
        <v>307</v>
      </c>
      <c r="U4" s="4"/>
      <c r="V4" s="4"/>
      <c r="W4" s="4"/>
      <c r="X4" s="5"/>
    </row>
    <row r="5" spans="1:2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8" t="s">
        <v>7</v>
      </c>
      <c r="U5" s="144" t="s">
        <v>6</v>
      </c>
      <c r="V5" s="145"/>
      <c r="W5" s="146"/>
      <c r="X5" s="8" t="s">
        <v>7</v>
      </c>
    </row>
    <row r="6" spans="1:24" ht="17.25" thickBot="1">
      <c r="A6" s="147" t="s">
        <v>294</v>
      </c>
      <c r="B6" s="148"/>
      <c r="C6" s="149"/>
      <c r="D6" s="50">
        <v>27703.478260869568</v>
      </c>
      <c r="F6" s="147" t="s">
        <v>294</v>
      </c>
      <c r="G6" s="148"/>
      <c r="H6" s="149"/>
      <c r="I6" s="50">
        <v>1226.0869565217392</v>
      </c>
      <c r="K6" s="147" t="s">
        <v>294</v>
      </c>
      <c r="L6" s="148"/>
      <c r="M6" s="149"/>
      <c r="N6" s="50">
        <v>2100</v>
      </c>
      <c r="P6" s="147" t="s">
        <v>294</v>
      </c>
      <c r="Q6" s="148"/>
      <c r="R6" s="149"/>
      <c r="S6" s="108">
        <v>0</v>
      </c>
      <c r="U6" s="147" t="s">
        <v>294</v>
      </c>
      <c r="V6" s="148"/>
      <c r="W6" s="149"/>
      <c r="X6" s="9">
        <f>S6+N6+I6+D6</f>
        <v>31029.565217391308</v>
      </c>
    </row>
    <row r="7" spans="1:2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108">
        <v>0</v>
      </c>
      <c r="U7" s="147" t="s">
        <v>295</v>
      </c>
      <c r="V7" s="148"/>
      <c r="W7" s="149"/>
      <c r="X7" s="9">
        <f t="shared" ref="X7:X23" si="0">S7+N7+I7+D7</f>
        <v>0</v>
      </c>
    </row>
    <row r="8" spans="1:24" ht="17.25" thickBot="1">
      <c r="A8" s="147" t="s">
        <v>296</v>
      </c>
      <c r="B8" s="148"/>
      <c r="C8" s="149"/>
      <c r="D8" s="50"/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108">
        <v>0</v>
      </c>
      <c r="U8" s="147" t="s">
        <v>296</v>
      </c>
      <c r="V8" s="148"/>
      <c r="W8" s="149"/>
      <c r="X8" s="9">
        <f t="shared" si="0"/>
        <v>0</v>
      </c>
    </row>
    <row r="9" spans="1:24" ht="17.25" thickBot="1">
      <c r="A9" s="150" t="s">
        <v>9</v>
      </c>
      <c r="B9" s="151"/>
      <c r="C9" s="152"/>
      <c r="D9" s="51">
        <f>SUM(D6:D8)</f>
        <v>27703.478260869568</v>
      </c>
      <c r="F9" s="150" t="s">
        <v>9</v>
      </c>
      <c r="G9" s="151"/>
      <c r="H9" s="152"/>
      <c r="I9" s="51">
        <f>SUM(I6:I8)</f>
        <v>1226.0869565217392</v>
      </c>
      <c r="K9" s="150" t="s">
        <v>9</v>
      </c>
      <c r="L9" s="151"/>
      <c r="M9" s="152"/>
      <c r="N9" s="51">
        <f>SUM(N6:N8)</f>
        <v>2100</v>
      </c>
      <c r="P9" s="150" t="s">
        <v>9</v>
      </c>
      <c r="Q9" s="151"/>
      <c r="R9" s="152"/>
      <c r="S9" s="105">
        <f>SUM(S6:S8)</f>
        <v>0</v>
      </c>
      <c r="U9" s="150" t="s">
        <v>9</v>
      </c>
      <c r="V9" s="151"/>
      <c r="W9" s="152"/>
      <c r="X9" s="35">
        <f>S9+N9+I9+D9</f>
        <v>31029.565217391308</v>
      </c>
    </row>
    <row r="10" spans="1:24" ht="17.25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0</v>
      </c>
      <c r="K10" s="147" t="s">
        <v>39</v>
      </c>
      <c r="L10" s="148"/>
      <c r="M10" s="149"/>
      <c r="N10" s="50">
        <v>0</v>
      </c>
      <c r="P10" s="147" t="s">
        <v>39</v>
      </c>
      <c r="Q10" s="148"/>
      <c r="R10" s="149"/>
      <c r="S10" s="108">
        <v>0</v>
      </c>
      <c r="U10" s="147" t="s">
        <v>39</v>
      </c>
      <c r="V10" s="148"/>
      <c r="W10" s="149"/>
      <c r="X10" s="9">
        <f>S10+N10+I10+D10</f>
        <v>184</v>
      </c>
    </row>
    <row r="11" spans="1:24" ht="17.25" thickBot="1">
      <c r="A11" s="147" t="s">
        <v>40</v>
      </c>
      <c r="B11" s="148"/>
      <c r="C11" s="149"/>
      <c r="D11" s="50"/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0</v>
      </c>
      <c r="P11" s="147" t="s">
        <v>40</v>
      </c>
      <c r="Q11" s="148"/>
      <c r="R11" s="149"/>
      <c r="S11" s="108">
        <v>0</v>
      </c>
      <c r="U11" s="147" t="s">
        <v>40</v>
      </c>
      <c r="V11" s="148"/>
      <c r="W11" s="149"/>
      <c r="X11" s="9">
        <f t="shared" si="0"/>
        <v>0</v>
      </c>
    </row>
    <row r="12" spans="1:24" ht="17.25" thickBot="1">
      <c r="A12" s="147" t="s">
        <v>41</v>
      </c>
      <c r="B12" s="148"/>
      <c r="C12" s="149"/>
      <c r="D12" s="50">
        <v>121.27560625599999</v>
      </c>
      <c r="F12" s="147" t="s">
        <v>41</v>
      </c>
      <c r="G12" s="148"/>
      <c r="H12" s="149"/>
      <c r="I12" s="50">
        <v>25.380000000000003</v>
      </c>
      <c r="K12" s="147" t="s">
        <v>41</v>
      </c>
      <c r="L12" s="148"/>
      <c r="M12" s="149"/>
      <c r="N12" s="50">
        <v>23</v>
      </c>
      <c r="P12" s="147" t="s">
        <v>41</v>
      </c>
      <c r="Q12" s="148"/>
      <c r="R12" s="149"/>
      <c r="S12" s="108">
        <v>0</v>
      </c>
      <c r="U12" s="147" t="s">
        <v>41</v>
      </c>
      <c r="V12" s="148"/>
      <c r="W12" s="149"/>
      <c r="X12" s="9">
        <f t="shared" si="0"/>
        <v>169.655606256</v>
      </c>
    </row>
    <row r="13" spans="1:24" ht="17.25" thickBot="1">
      <c r="A13" s="147" t="s">
        <v>297</v>
      </c>
      <c r="B13" s="148"/>
      <c r="C13" s="149"/>
      <c r="D13" s="50">
        <v>674.05000000000007</v>
      </c>
      <c r="F13" s="147" t="s">
        <v>297</v>
      </c>
      <c r="G13" s="148"/>
      <c r="H13" s="149"/>
      <c r="I13" s="50">
        <v>0</v>
      </c>
      <c r="K13" s="147" t="s">
        <v>297</v>
      </c>
      <c r="L13" s="148"/>
      <c r="M13" s="149"/>
      <c r="N13" s="50">
        <v>0</v>
      </c>
      <c r="P13" s="147" t="s">
        <v>297</v>
      </c>
      <c r="Q13" s="148"/>
      <c r="R13" s="149"/>
      <c r="S13" s="108">
        <v>0</v>
      </c>
      <c r="U13" s="147" t="s">
        <v>297</v>
      </c>
      <c r="V13" s="148"/>
      <c r="W13" s="149"/>
      <c r="X13" s="9">
        <f t="shared" si="0"/>
        <v>674.05000000000007</v>
      </c>
    </row>
    <row r="14" spans="1:24" ht="17.25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0</v>
      </c>
      <c r="K14" s="147" t="s">
        <v>43</v>
      </c>
      <c r="L14" s="148"/>
      <c r="M14" s="149"/>
      <c r="N14" s="50">
        <v>0</v>
      </c>
      <c r="P14" s="147" t="s">
        <v>43</v>
      </c>
      <c r="Q14" s="148"/>
      <c r="R14" s="149"/>
      <c r="S14" s="108">
        <v>0</v>
      </c>
      <c r="U14" s="147" t="s">
        <v>43</v>
      </c>
      <c r="V14" s="148"/>
      <c r="W14" s="149"/>
      <c r="X14" s="9">
        <f t="shared" si="0"/>
        <v>875.91</v>
      </c>
    </row>
    <row r="15" spans="1:24" ht="17.25" thickBot="1">
      <c r="A15" s="147" t="s">
        <v>44</v>
      </c>
      <c r="B15" s="148"/>
      <c r="C15" s="149"/>
      <c r="D15" s="50">
        <v>644.3599999999999</v>
      </c>
      <c r="F15" s="147" t="s">
        <v>44</v>
      </c>
      <c r="G15" s="148"/>
      <c r="H15" s="149"/>
      <c r="I15" s="50">
        <v>0</v>
      </c>
      <c r="K15" s="147" t="s">
        <v>44</v>
      </c>
      <c r="L15" s="148"/>
      <c r="M15" s="149"/>
      <c r="N15" s="50">
        <v>0</v>
      </c>
      <c r="P15" s="147" t="s">
        <v>44</v>
      </c>
      <c r="Q15" s="148"/>
      <c r="R15" s="149"/>
      <c r="S15" s="108">
        <v>0</v>
      </c>
      <c r="U15" s="147" t="s">
        <v>44</v>
      </c>
      <c r="V15" s="148"/>
      <c r="W15" s="149"/>
      <c r="X15" s="9">
        <f t="shared" si="0"/>
        <v>644.3599999999999</v>
      </c>
    </row>
    <row r="16" spans="1:24" ht="17.25" thickBot="1">
      <c r="A16" s="147" t="s">
        <v>298</v>
      </c>
      <c r="B16" s="148"/>
      <c r="C16" s="149"/>
      <c r="D16" s="50"/>
      <c r="F16" s="147" t="s">
        <v>298</v>
      </c>
      <c r="G16" s="148"/>
      <c r="H16" s="149"/>
      <c r="I16" s="50">
        <v>0</v>
      </c>
      <c r="K16" s="147" t="s">
        <v>298</v>
      </c>
      <c r="L16" s="148"/>
      <c r="M16" s="149"/>
      <c r="N16" s="50">
        <v>0</v>
      </c>
      <c r="P16" s="147" t="s">
        <v>298</v>
      </c>
      <c r="Q16" s="148"/>
      <c r="R16" s="149"/>
      <c r="S16" s="108">
        <v>0</v>
      </c>
      <c r="U16" s="147" t="s">
        <v>298</v>
      </c>
      <c r="V16" s="148"/>
      <c r="W16" s="149"/>
      <c r="X16" s="9">
        <f t="shared" si="0"/>
        <v>0</v>
      </c>
    </row>
    <row r="17" spans="1:24" ht="17.25" thickBot="1">
      <c r="A17" s="153" t="s">
        <v>48</v>
      </c>
      <c r="B17" s="154"/>
      <c r="C17" s="155"/>
      <c r="D17" s="52">
        <f>SUM(D10:D16)</f>
        <v>2499.5956062559999</v>
      </c>
      <c r="F17" s="153" t="s">
        <v>48</v>
      </c>
      <c r="G17" s="154"/>
      <c r="H17" s="155"/>
      <c r="I17" s="52">
        <f>SUM(I10:I16)</f>
        <v>25.380000000000003</v>
      </c>
      <c r="K17" s="153" t="s">
        <v>48</v>
      </c>
      <c r="L17" s="154"/>
      <c r="M17" s="155"/>
      <c r="N17" s="52">
        <f>SUM(N10:N16)</f>
        <v>23</v>
      </c>
      <c r="P17" s="153" t="s">
        <v>48</v>
      </c>
      <c r="Q17" s="154"/>
      <c r="R17" s="155"/>
      <c r="S17" s="111">
        <f>SUM(S10:S16)</f>
        <v>0</v>
      </c>
      <c r="U17" s="153" t="s">
        <v>48</v>
      </c>
      <c r="V17" s="154"/>
      <c r="W17" s="155"/>
      <c r="X17" s="36">
        <f>S17+N17+I17+D17</f>
        <v>2547.975606256</v>
      </c>
    </row>
    <row r="18" spans="1:24" ht="17.25" thickBot="1">
      <c r="A18" s="156" t="s">
        <v>10</v>
      </c>
      <c r="B18" s="157"/>
      <c r="C18" s="158"/>
      <c r="D18" s="53">
        <f>D9-D17</f>
        <v>25203.882654613568</v>
      </c>
      <c r="F18" s="156" t="s">
        <v>10</v>
      </c>
      <c r="G18" s="157"/>
      <c r="H18" s="158"/>
      <c r="I18" s="53">
        <f>I9-I17</f>
        <v>1200.7069565217391</v>
      </c>
      <c r="K18" s="156" t="s">
        <v>10</v>
      </c>
      <c r="L18" s="157"/>
      <c r="M18" s="158"/>
      <c r="N18" s="53">
        <f>N9-N17</f>
        <v>2077</v>
      </c>
      <c r="P18" s="156" t="s">
        <v>10</v>
      </c>
      <c r="Q18" s="157"/>
      <c r="R18" s="158"/>
      <c r="S18" s="112">
        <f>S9-S17</f>
        <v>0</v>
      </c>
      <c r="U18" s="156" t="s">
        <v>10</v>
      </c>
      <c r="V18" s="157"/>
      <c r="W18" s="158"/>
      <c r="X18" s="10">
        <f>S18+N18+I18+D18</f>
        <v>28481.589611135307</v>
      </c>
    </row>
    <row r="19" spans="1:24" ht="17.25" thickBot="1">
      <c r="A19" s="147" t="s">
        <v>20</v>
      </c>
      <c r="B19" s="148"/>
      <c r="C19" s="149"/>
      <c r="D19" s="50">
        <f>D18*0.3</f>
        <v>7561.1647963840696</v>
      </c>
      <c r="F19" s="147" t="s">
        <v>20</v>
      </c>
      <c r="G19" s="148"/>
      <c r="H19" s="149"/>
      <c r="I19" s="50">
        <f>I18*0.3</f>
        <v>360.21208695652172</v>
      </c>
      <c r="K19" s="147" t="s">
        <v>20</v>
      </c>
      <c r="L19" s="148"/>
      <c r="M19" s="149"/>
      <c r="N19" s="50">
        <f>N18*0.3</f>
        <v>623.1</v>
      </c>
      <c r="P19" s="147" t="s">
        <v>20</v>
      </c>
      <c r="Q19" s="148"/>
      <c r="R19" s="149"/>
      <c r="S19" s="108">
        <f>S18*0.3</f>
        <v>0</v>
      </c>
      <c r="U19" s="147" t="s">
        <v>20</v>
      </c>
      <c r="V19" s="148"/>
      <c r="W19" s="149"/>
      <c r="X19" s="9">
        <f t="shared" si="0"/>
        <v>8544.4768833405906</v>
      </c>
    </row>
    <row r="20" spans="1:24" ht="17.25" thickBot="1">
      <c r="A20" s="159" t="s">
        <v>21</v>
      </c>
      <c r="B20" s="160"/>
      <c r="C20" s="161"/>
      <c r="D20" s="54">
        <f>D18-D19</f>
        <v>17642.717858229498</v>
      </c>
      <c r="F20" s="159" t="s">
        <v>21</v>
      </c>
      <c r="G20" s="160"/>
      <c r="H20" s="161"/>
      <c r="I20" s="54">
        <f>I18-I19</f>
        <v>840.49486956521741</v>
      </c>
      <c r="K20" s="159" t="s">
        <v>21</v>
      </c>
      <c r="L20" s="160"/>
      <c r="M20" s="161"/>
      <c r="N20" s="54">
        <f>N18-N19</f>
        <v>1453.9</v>
      </c>
      <c r="P20" s="159" t="s">
        <v>21</v>
      </c>
      <c r="Q20" s="160"/>
      <c r="R20" s="161"/>
      <c r="S20" s="113">
        <f>S18-S19</f>
        <v>0</v>
      </c>
      <c r="U20" s="159" t="s">
        <v>21</v>
      </c>
      <c r="V20" s="160"/>
      <c r="W20" s="161"/>
      <c r="X20" s="11">
        <f>S20+N20+I20+D20</f>
        <v>19937.112727794716</v>
      </c>
    </row>
    <row r="21" spans="1:2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/>
      <c r="P21" s="147" t="s">
        <v>11</v>
      </c>
      <c r="Q21" s="148"/>
      <c r="R21" s="149"/>
      <c r="S21" s="108"/>
      <c r="U21" s="147" t="s">
        <v>11</v>
      </c>
      <c r="V21" s="148"/>
      <c r="W21" s="149"/>
      <c r="X21" s="9">
        <f t="shared" si="0"/>
        <v>0</v>
      </c>
    </row>
    <row r="22" spans="1:24" ht="17.25" thickBot="1">
      <c r="A22" s="150" t="s">
        <v>12</v>
      </c>
      <c r="B22" s="151"/>
      <c r="C22" s="152"/>
      <c r="D22" s="51">
        <f>D20-D21</f>
        <v>17642.717858229498</v>
      </c>
      <c r="F22" s="150" t="s">
        <v>12</v>
      </c>
      <c r="G22" s="151"/>
      <c r="H22" s="152"/>
      <c r="I22" s="51">
        <f>I20-I21</f>
        <v>840.49486956521741</v>
      </c>
      <c r="K22" s="150" t="s">
        <v>12</v>
      </c>
      <c r="L22" s="151"/>
      <c r="M22" s="152"/>
      <c r="N22" s="51">
        <f>N20-N21</f>
        <v>1453.9</v>
      </c>
      <c r="P22" s="150" t="s">
        <v>12</v>
      </c>
      <c r="Q22" s="151"/>
      <c r="R22" s="152"/>
      <c r="S22" s="105">
        <f>S20-S21</f>
        <v>0</v>
      </c>
      <c r="U22" s="150" t="s">
        <v>12</v>
      </c>
      <c r="V22" s="151"/>
      <c r="W22" s="152"/>
      <c r="X22" s="51">
        <f>S22+N22+I22+D22</f>
        <v>19937.112727794716</v>
      </c>
    </row>
    <row r="23" spans="1:24" ht="17.25" thickBot="1">
      <c r="A23" s="150" t="s">
        <v>299</v>
      </c>
      <c r="B23" s="151" t="s">
        <v>299</v>
      </c>
      <c r="C23" s="152"/>
      <c r="D23" s="51"/>
      <c r="F23" s="150" t="s">
        <v>299</v>
      </c>
      <c r="G23" s="151" t="s">
        <v>299</v>
      </c>
      <c r="H23" s="152"/>
      <c r="I23" s="51"/>
      <c r="K23" s="150" t="s">
        <v>299</v>
      </c>
      <c r="L23" s="151" t="s">
        <v>299</v>
      </c>
      <c r="M23" s="152"/>
      <c r="N23" s="51"/>
      <c r="P23" s="150" t="s">
        <v>299</v>
      </c>
      <c r="Q23" s="151" t="s">
        <v>299</v>
      </c>
      <c r="R23" s="152"/>
      <c r="S23" s="105"/>
      <c r="U23" s="150" t="s">
        <v>299</v>
      </c>
      <c r="V23" s="151" t="s">
        <v>299</v>
      </c>
      <c r="W23" s="152"/>
      <c r="X23" s="51">
        <f t="shared" si="0"/>
        <v>0</v>
      </c>
    </row>
    <row r="24" spans="1:24" ht="17.25" thickBot="1">
      <c r="A24" s="150" t="s">
        <v>300</v>
      </c>
      <c r="B24" s="151" t="s">
        <v>300</v>
      </c>
      <c r="C24" s="152"/>
      <c r="D24" s="51">
        <f>SUM(D22:D23)</f>
        <v>17642.717858229498</v>
      </c>
      <c r="F24" s="150" t="s">
        <v>300</v>
      </c>
      <c r="G24" s="151" t="s">
        <v>300</v>
      </c>
      <c r="H24" s="152"/>
      <c r="I24" s="51">
        <f>SUM(I22:I23)</f>
        <v>840.49486956521741</v>
      </c>
      <c r="K24" s="150" t="s">
        <v>300</v>
      </c>
      <c r="L24" s="151" t="s">
        <v>300</v>
      </c>
      <c r="M24" s="152"/>
      <c r="N24" s="51">
        <f>SUM(N22:N23)</f>
        <v>1453.9</v>
      </c>
      <c r="P24" s="150" t="s">
        <v>300</v>
      </c>
      <c r="Q24" s="151" t="s">
        <v>300</v>
      </c>
      <c r="R24" s="152"/>
      <c r="S24" s="105">
        <f>SUM(S22:S23)</f>
        <v>0</v>
      </c>
      <c r="U24" s="150" t="s">
        <v>300</v>
      </c>
      <c r="V24" s="151" t="s">
        <v>300</v>
      </c>
      <c r="W24" s="152"/>
      <c r="X24" s="51">
        <f>S24+N24+I24+D24</f>
        <v>19937.112727794716</v>
      </c>
    </row>
    <row r="25" spans="1:24" ht="16.5">
      <c r="A25" s="12" t="s">
        <v>24</v>
      </c>
      <c r="B25" s="4"/>
      <c r="C25" s="4"/>
      <c r="D25" s="5"/>
    </row>
    <row r="26" spans="1:24">
      <c r="A26" s="15" t="s">
        <v>13</v>
      </c>
      <c r="B26" s="15" t="s">
        <v>14</v>
      </c>
      <c r="C26" s="15" t="s">
        <v>15</v>
      </c>
      <c r="D26" s="16" t="s">
        <v>16</v>
      </c>
    </row>
    <row r="27" spans="1:24" ht="24">
      <c r="A27" s="24" t="s">
        <v>273</v>
      </c>
      <c r="B27" s="25">
        <v>45308</v>
      </c>
      <c r="C27" s="26">
        <v>401014401164875</v>
      </c>
      <c r="D27" s="85">
        <v>6860</v>
      </c>
    </row>
  </sheetData>
  <mergeCells count="125">
    <mergeCell ref="A19:C19"/>
    <mergeCell ref="A20:C20"/>
    <mergeCell ref="A21:C21"/>
    <mergeCell ref="A22:C22"/>
    <mergeCell ref="A14:C14"/>
    <mergeCell ref="A15:C15"/>
    <mergeCell ref="A16:C16"/>
    <mergeCell ref="A17:C17"/>
    <mergeCell ref="A18:C18"/>
    <mergeCell ref="A11:C11"/>
    <mergeCell ref="A12:C12"/>
    <mergeCell ref="A13:C13"/>
    <mergeCell ref="A5:C5"/>
    <mergeCell ref="A6:C6"/>
    <mergeCell ref="A7:C7"/>
    <mergeCell ref="A9:C9"/>
    <mergeCell ref="A10:C10"/>
    <mergeCell ref="A8:C8"/>
    <mergeCell ref="A1:D1"/>
    <mergeCell ref="A2:B2"/>
    <mergeCell ref="C2:D2"/>
    <mergeCell ref="A3:B3"/>
    <mergeCell ref="C3:D3"/>
    <mergeCell ref="F5:H5"/>
    <mergeCell ref="K5:M5"/>
    <mergeCell ref="F1:I1"/>
    <mergeCell ref="K1:N1"/>
    <mergeCell ref="F2:G2"/>
    <mergeCell ref="H2:I2"/>
    <mergeCell ref="K2:L2"/>
    <mergeCell ref="M2:N2"/>
    <mergeCell ref="F3:G3"/>
    <mergeCell ref="H3:I3"/>
    <mergeCell ref="K3:L3"/>
    <mergeCell ref="M3:N3"/>
    <mergeCell ref="F6:H6"/>
    <mergeCell ref="K6:M6"/>
    <mergeCell ref="F7:H7"/>
    <mergeCell ref="K7:M7"/>
    <mergeCell ref="F9:H9"/>
    <mergeCell ref="K9:M9"/>
    <mergeCell ref="F10:H10"/>
    <mergeCell ref="K10:M10"/>
    <mergeCell ref="F11:H11"/>
    <mergeCell ref="K11:M11"/>
    <mergeCell ref="F8:H8"/>
    <mergeCell ref="K8:M8"/>
    <mergeCell ref="F16:H16"/>
    <mergeCell ref="K16:M16"/>
    <mergeCell ref="F17:H17"/>
    <mergeCell ref="K17:M17"/>
    <mergeCell ref="F18:H18"/>
    <mergeCell ref="K18:M18"/>
    <mergeCell ref="F19:H19"/>
    <mergeCell ref="K19:M19"/>
    <mergeCell ref="F12:H12"/>
    <mergeCell ref="K12:M12"/>
    <mergeCell ref="F13:H13"/>
    <mergeCell ref="K13:M13"/>
    <mergeCell ref="F14:H14"/>
    <mergeCell ref="K14:M14"/>
    <mergeCell ref="F20:H20"/>
    <mergeCell ref="K20:M20"/>
    <mergeCell ref="F21:H21"/>
    <mergeCell ref="K21:M21"/>
    <mergeCell ref="F22:H22"/>
    <mergeCell ref="K22:M22"/>
    <mergeCell ref="P12:R12"/>
    <mergeCell ref="P1:S1"/>
    <mergeCell ref="P2:Q2"/>
    <mergeCell ref="R2:S2"/>
    <mergeCell ref="P3:Q3"/>
    <mergeCell ref="R3:S3"/>
    <mergeCell ref="P5:R5"/>
    <mergeCell ref="P6:R6"/>
    <mergeCell ref="P7:R7"/>
    <mergeCell ref="P9:R9"/>
    <mergeCell ref="P10:R10"/>
    <mergeCell ref="P11:R11"/>
    <mergeCell ref="P22:R22"/>
    <mergeCell ref="P13:R13"/>
    <mergeCell ref="P14:R14"/>
    <mergeCell ref="P15:R15"/>
    <mergeCell ref="F15:H15"/>
    <mergeCell ref="K15:M15"/>
    <mergeCell ref="P16:R16"/>
    <mergeCell ref="P17:R17"/>
    <mergeCell ref="P18:R18"/>
    <mergeCell ref="P19:R19"/>
    <mergeCell ref="P20:R20"/>
    <mergeCell ref="P21:R21"/>
    <mergeCell ref="U12:W12"/>
    <mergeCell ref="U1:X1"/>
    <mergeCell ref="U2:V2"/>
    <mergeCell ref="W2:X2"/>
    <mergeCell ref="U3:V3"/>
    <mergeCell ref="W3:X3"/>
    <mergeCell ref="U5:W5"/>
    <mergeCell ref="U6:W6"/>
    <mergeCell ref="U7:W7"/>
    <mergeCell ref="U9:W9"/>
    <mergeCell ref="U10:W10"/>
    <mergeCell ref="U11:W11"/>
    <mergeCell ref="P8:R8"/>
    <mergeCell ref="U8:W8"/>
    <mergeCell ref="U22:W2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A23:C23"/>
    <mergeCell ref="A24:C24"/>
    <mergeCell ref="F23:H23"/>
    <mergeCell ref="F24:H24"/>
    <mergeCell ref="K23:M23"/>
    <mergeCell ref="K24:M24"/>
    <mergeCell ref="P23:R23"/>
    <mergeCell ref="P24:R24"/>
    <mergeCell ref="U23:W23"/>
    <mergeCell ref="U24:W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5F5D-7635-4E1F-8415-BB10EDF10DCF}">
  <sheetPr>
    <tabColor rgb="FF66FFFF"/>
  </sheetPr>
  <dimension ref="A1:AQ1104"/>
  <sheetViews>
    <sheetView rightToLeft="1" workbookViewId="0">
      <selection activeCell="N7" sqref="N7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" customWidth="1"/>
    <col min="6" max="6" width="18" customWidth="1"/>
    <col min="7" max="7" width="12.625" customWidth="1"/>
    <col min="8" max="8" width="20.625" customWidth="1"/>
    <col min="9" max="9" width="13.375" customWidth="1"/>
    <col min="10" max="10" width="0.875" style="104" customWidth="1"/>
    <col min="11" max="11" width="18" customWidth="1"/>
    <col min="12" max="12" width="12.625" customWidth="1"/>
    <col min="13" max="13" width="16.625" customWidth="1"/>
    <col min="14" max="14" width="13.375" customWidth="1"/>
  </cols>
  <sheetData>
    <row r="1" spans="1:14" ht="18" thickBot="1">
      <c r="A1" s="135" t="s">
        <v>119</v>
      </c>
      <c r="B1" s="135"/>
      <c r="C1" s="135"/>
      <c r="D1" s="135"/>
      <c r="F1" s="135" t="s">
        <v>119</v>
      </c>
      <c r="G1" s="135"/>
      <c r="H1" s="135"/>
      <c r="I1" s="135"/>
      <c r="K1" s="135" t="s">
        <v>119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136</v>
      </c>
      <c r="D2" s="137"/>
      <c r="F2" s="136" t="s">
        <v>1</v>
      </c>
      <c r="G2" s="136"/>
      <c r="H2" s="137" t="s">
        <v>27</v>
      </c>
      <c r="I2" s="137"/>
      <c r="K2" s="136" t="s">
        <v>1</v>
      </c>
      <c r="L2" s="136"/>
      <c r="M2" s="137"/>
      <c r="N2" s="137"/>
    </row>
    <row r="3" spans="1:14" ht="21" thickBot="1">
      <c r="A3" s="136" t="s">
        <v>2</v>
      </c>
      <c r="B3" s="136"/>
      <c r="C3" s="142" t="s">
        <v>120</v>
      </c>
      <c r="D3" s="143"/>
      <c r="F3" s="136" t="s">
        <v>2</v>
      </c>
      <c r="G3" s="136"/>
      <c r="H3" s="142" t="s">
        <v>121</v>
      </c>
      <c r="I3" s="143"/>
      <c r="K3" s="136" t="s">
        <v>2</v>
      </c>
      <c r="L3" s="136"/>
      <c r="M3" s="142" t="str">
        <f>H3&amp;"-"&amp;C3</f>
        <v>ر ا ل 7853-ر ا ل 7858</v>
      </c>
      <c r="N3" s="143"/>
    </row>
    <row r="4" spans="1:14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23647.095652173914</v>
      </c>
      <c r="F6" s="147" t="s">
        <v>294</v>
      </c>
      <c r="G6" s="148"/>
      <c r="H6" s="149"/>
      <c r="I6" s="50">
        <v>17139.130434782612</v>
      </c>
      <c r="K6" s="147" t="s">
        <v>294</v>
      </c>
      <c r="L6" s="148"/>
      <c r="M6" s="149"/>
      <c r="N6" s="50">
        <f>D6+I6</f>
        <v>40786.226086956522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f t="shared" ref="N7:N24" si="0">D7+I7</f>
        <v>0</v>
      </c>
    </row>
    <row r="8" spans="1:14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23647.095652173914</v>
      </c>
      <c r="F9" s="150" t="s">
        <v>9</v>
      </c>
      <c r="G9" s="151"/>
      <c r="H9" s="152"/>
      <c r="I9" s="51">
        <f>SUM(I6:I8)</f>
        <v>17139.130434782612</v>
      </c>
      <c r="K9" s="150" t="s">
        <v>9</v>
      </c>
      <c r="L9" s="151"/>
      <c r="M9" s="152"/>
      <c r="N9" s="51">
        <f t="shared" si="0"/>
        <v>40786.226086956522</v>
      </c>
    </row>
    <row r="10" spans="1:14" ht="17.25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546.17000000000007</v>
      </c>
      <c r="K10" s="147" t="s">
        <v>39</v>
      </c>
      <c r="L10" s="148"/>
      <c r="M10" s="149"/>
      <c r="N10" s="50">
        <f t="shared" si="0"/>
        <v>730.17000000000007</v>
      </c>
    </row>
    <row r="11" spans="1:14" ht="17.25" thickBot="1">
      <c r="A11" s="147" t="s">
        <v>40</v>
      </c>
      <c r="B11" s="148"/>
      <c r="C11" s="149"/>
      <c r="D11" s="50"/>
      <c r="F11" s="147" t="s">
        <v>40</v>
      </c>
      <c r="G11" s="148"/>
      <c r="H11" s="149"/>
      <c r="I11" s="50"/>
      <c r="K11" s="147" t="s">
        <v>40</v>
      </c>
      <c r="L11" s="148"/>
      <c r="M11" s="149"/>
      <c r="N11" s="50">
        <f t="shared" si="0"/>
        <v>0</v>
      </c>
    </row>
    <row r="12" spans="1:14" ht="17.25" thickBot="1">
      <c r="A12" s="147" t="s">
        <v>41</v>
      </c>
      <c r="B12" s="148"/>
      <c r="C12" s="149"/>
      <c r="D12" s="50">
        <v>93.175993147</v>
      </c>
      <c r="F12" s="147" t="s">
        <v>41</v>
      </c>
      <c r="G12" s="148"/>
      <c r="H12" s="149"/>
      <c r="I12" s="50">
        <v>86.329995878000005</v>
      </c>
      <c r="K12" s="147" t="s">
        <v>41</v>
      </c>
      <c r="L12" s="148"/>
      <c r="M12" s="149"/>
      <c r="N12" s="50">
        <f t="shared" si="0"/>
        <v>179.50598902500002</v>
      </c>
    </row>
    <row r="13" spans="1:14" ht="17.25" thickBot="1">
      <c r="A13" s="147" t="s">
        <v>297</v>
      </c>
      <c r="B13" s="148"/>
      <c r="C13" s="149"/>
      <c r="D13" s="50">
        <v>1095.6300000000001</v>
      </c>
      <c r="F13" s="147" t="s">
        <v>297</v>
      </c>
      <c r="G13" s="148"/>
      <c r="H13" s="149"/>
      <c r="I13" s="50">
        <v>1156.1100000000001</v>
      </c>
      <c r="K13" s="147" t="s">
        <v>297</v>
      </c>
      <c r="L13" s="148"/>
      <c r="M13" s="149"/>
      <c r="N13" s="50">
        <f t="shared" si="0"/>
        <v>2251.7400000000002</v>
      </c>
    </row>
    <row r="14" spans="1:14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0</v>
      </c>
      <c r="K14" s="147" t="s">
        <v>43</v>
      </c>
      <c r="L14" s="148"/>
      <c r="M14" s="149"/>
      <c r="N14" s="50">
        <f t="shared" si="0"/>
        <v>0</v>
      </c>
    </row>
    <row r="15" spans="1:14" ht="17.25" thickBot="1">
      <c r="A15" s="147" t="s">
        <v>44</v>
      </c>
      <c r="B15" s="148"/>
      <c r="C15" s="149"/>
      <c r="D15" s="50">
        <v>309.13</v>
      </c>
      <c r="F15" s="147" t="s">
        <v>44</v>
      </c>
      <c r="G15" s="148"/>
      <c r="H15" s="149"/>
      <c r="I15" s="50">
        <v>270</v>
      </c>
      <c r="K15" s="147" t="s">
        <v>44</v>
      </c>
      <c r="L15" s="148"/>
      <c r="M15" s="149"/>
      <c r="N15" s="50">
        <f t="shared" si="0"/>
        <v>579.13</v>
      </c>
    </row>
    <row r="16" spans="1:14" ht="17.25" thickBot="1">
      <c r="A16" s="147" t="s">
        <v>298</v>
      </c>
      <c r="B16" s="148"/>
      <c r="C16" s="149"/>
      <c r="D16" s="50">
        <v>300</v>
      </c>
      <c r="F16" s="147" t="s">
        <v>298</v>
      </c>
      <c r="G16" s="148"/>
      <c r="H16" s="149"/>
      <c r="I16" s="50">
        <v>350</v>
      </c>
      <c r="K16" s="147" t="s">
        <v>298</v>
      </c>
      <c r="L16" s="148"/>
      <c r="M16" s="149"/>
      <c r="N16" s="50">
        <f t="shared" si="0"/>
        <v>650</v>
      </c>
    </row>
    <row r="17" spans="1:43" ht="17.25" thickBot="1">
      <c r="A17" s="153" t="s">
        <v>48</v>
      </c>
      <c r="B17" s="154"/>
      <c r="C17" s="155"/>
      <c r="D17" s="52">
        <f>SUM(D10:D16)</f>
        <v>1981.9359931470003</v>
      </c>
      <c r="F17" s="153" t="s">
        <v>48</v>
      </c>
      <c r="G17" s="154"/>
      <c r="H17" s="155"/>
      <c r="I17" s="52">
        <f>SUM(I10:I16)</f>
        <v>2408.6099958780001</v>
      </c>
      <c r="K17" s="153" t="s">
        <v>48</v>
      </c>
      <c r="L17" s="154"/>
      <c r="M17" s="155"/>
      <c r="N17" s="52">
        <f t="shared" si="0"/>
        <v>4390.5459890250004</v>
      </c>
    </row>
    <row r="18" spans="1:43" ht="17.25" thickBot="1">
      <c r="A18" s="156" t="s">
        <v>10</v>
      </c>
      <c r="B18" s="157"/>
      <c r="C18" s="158"/>
      <c r="D18" s="53">
        <f>D9-D17</f>
        <v>21665.159659026915</v>
      </c>
      <c r="F18" s="156" t="s">
        <v>10</v>
      </c>
      <c r="G18" s="157"/>
      <c r="H18" s="158"/>
      <c r="I18" s="53">
        <f>I9-I17</f>
        <v>14730.520438904612</v>
      </c>
      <c r="K18" s="156" t="s">
        <v>10</v>
      </c>
      <c r="L18" s="157"/>
      <c r="M18" s="158"/>
      <c r="N18" s="53">
        <f t="shared" si="0"/>
        <v>36395.68009793153</v>
      </c>
    </row>
    <row r="19" spans="1:43" ht="17.25" thickBot="1">
      <c r="A19" s="147" t="s">
        <v>20</v>
      </c>
      <c r="B19" s="148"/>
      <c r="C19" s="149"/>
      <c r="D19" s="50">
        <f>D18*0.3</f>
        <v>6499.5478977080738</v>
      </c>
      <c r="F19" s="147" t="s">
        <v>20</v>
      </c>
      <c r="G19" s="148"/>
      <c r="H19" s="149"/>
      <c r="I19" s="50">
        <f>I18*0.3</f>
        <v>4419.1561316713833</v>
      </c>
      <c r="K19" s="147" t="s">
        <v>20</v>
      </c>
      <c r="L19" s="148"/>
      <c r="M19" s="149"/>
      <c r="N19" s="50">
        <f t="shared" si="0"/>
        <v>10918.704029379456</v>
      </c>
    </row>
    <row r="20" spans="1:43" ht="17.25" thickBot="1">
      <c r="A20" s="159" t="s">
        <v>21</v>
      </c>
      <c r="B20" s="160"/>
      <c r="C20" s="161"/>
      <c r="D20" s="54">
        <f>D18-D19</f>
        <v>15165.61176131884</v>
      </c>
      <c r="F20" s="159" t="s">
        <v>21</v>
      </c>
      <c r="G20" s="160"/>
      <c r="H20" s="161"/>
      <c r="I20" s="54">
        <f>I18-I19</f>
        <v>10311.364307233229</v>
      </c>
      <c r="K20" s="159" t="s">
        <v>21</v>
      </c>
      <c r="L20" s="160"/>
      <c r="M20" s="161"/>
      <c r="N20" s="54">
        <f t="shared" si="0"/>
        <v>25476.976068552067</v>
      </c>
    </row>
    <row r="21" spans="1:43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f t="shared" si="0"/>
        <v>0</v>
      </c>
    </row>
    <row r="22" spans="1:43" ht="17.25" thickBot="1">
      <c r="A22" s="150" t="s">
        <v>12</v>
      </c>
      <c r="B22" s="151"/>
      <c r="C22" s="152"/>
      <c r="D22" s="51">
        <f>D20-D21</f>
        <v>15165.61176131884</v>
      </c>
      <c r="F22" s="150" t="s">
        <v>12</v>
      </c>
      <c r="G22" s="151"/>
      <c r="H22" s="152"/>
      <c r="I22" s="51">
        <f>I20-I21</f>
        <v>10311.364307233229</v>
      </c>
      <c r="K22" s="150" t="s">
        <v>12</v>
      </c>
      <c r="L22" s="151"/>
      <c r="M22" s="152"/>
      <c r="N22" s="51">
        <f t="shared" si="0"/>
        <v>25476.976068552067</v>
      </c>
    </row>
    <row r="23" spans="1:43" ht="17.25" thickBot="1">
      <c r="A23" s="150" t="s">
        <v>299</v>
      </c>
      <c r="B23" s="151" t="s">
        <v>299</v>
      </c>
      <c r="C23" s="152"/>
      <c r="D23" s="51">
        <v>0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f t="shared" si="0"/>
        <v>0</v>
      </c>
    </row>
    <row r="24" spans="1:43" ht="17.25" thickBot="1">
      <c r="A24" s="150" t="s">
        <v>300</v>
      </c>
      <c r="B24" s="151" t="s">
        <v>300</v>
      </c>
      <c r="C24" s="152"/>
      <c r="D24" s="51">
        <f>SUM(D22:D23)</f>
        <v>15165.61176131884</v>
      </c>
      <c r="F24" s="150" t="s">
        <v>300</v>
      </c>
      <c r="G24" s="151" t="s">
        <v>300</v>
      </c>
      <c r="H24" s="152"/>
      <c r="I24" s="51">
        <f>SUM(I22:I23)</f>
        <v>10311.364307233229</v>
      </c>
      <c r="K24" s="150" t="s">
        <v>300</v>
      </c>
      <c r="L24" s="151" t="s">
        <v>300</v>
      </c>
      <c r="M24" s="152"/>
      <c r="N24" s="51">
        <f t="shared" si="0"/>
        <v>25476.976068552067</v>
      </c>
    </row>
    <row r="25" spans="1:43" ht="16.5">
      <c r="A25" s="12" t="s">
        <v>24</v>
      </c>
      <c r="B25" s="4"/>
      <c r="C25" s="4"/>
      <c r="D25" s="5"/>
      <c r="F25" s="12" t="s">
        <v>24</v>
      </c>
      <c r="G25" s="4"/>
      <c r="H25" s="4"/>
      <c r="J25"/>
    </row>
    <row r="26" spans="1:43">
      <c r="A26" s="15" t="s">
        <v>13</v>
      </c>
      <c r="B26" s="15" t="s">
        <v>14</v>
      </c>
      <c r="C26" s="15" t="s">
        <v>25</v>
      </c>
      <c r="D26" s="16" t="s">
        <v>7</v>
      </c>
      <c r="F26" s="15" t="s">
        <v>13</v>
      </c>
      <c r="G26" s="15" t="s">
        <v>14</v>
      </c>
      <c r="H26" s="15" t="s">
        <v>25</v>
      </c>
      <c r="I26" s="16" t="s">
        <v>7</v>
      </c>
      <c r="J26"/>
      <c r="AQ26" t="s">
        <v>123</v>
      </c>
    </row>
    <row r="27" spans="1:43" ht="24">
      <c r="A27" s="24" t="s">
        <v>122</v>
      </c>
      <c r="B27" s="25">
        <v>45007</v>
      </c>
      <c r="C27" s="26">
        <v>401014401295944</v>
      </c>
      <c r="D27" s="84">
        <v>5168.67</v>
      </c>
      <c r="F27" s="24" t="s">
        <v>124</v>
      </c>
      <c r="G27" s="25">
        <v>45094</v>
      </c>
      <c r="H27" s="26">
        <v>401014401445236</v>
      </c>
      <c r="I27" s="84">
        <v>8748</v>
      </c>
      <c r="J27"/>
    </row>
    <row r="28" spans="1:43" ht="24">
      <c r="F28" s="24" t="s">
        <v>272</v>
      </c>
      <c r="G28" s="192" t="s">
        <v>323</v>
      </c>
      <c r="H28" s="193"/>
      <c r="I28" s="84">
        <v>6277.97</v>
      </c>
      <c r="J28"/>
    </row>
    <row r="29" spans="1:43" ht="22.5" customHeight="1">
      <c r="F29" s="182" t="s">
        <v>55</v>
      </c>
      <c r="G29" s="183"/>
      <c r="H29" s="184"/>
      <c r="I29" s="84">
        <f>SUM(I26:I28)</f>
        <v>15025.970000000001</v>
      </c>
      <c r="J29"/>
    </row>
    <row r="30" spans="1:43">
      <c r="J30"/>
    </row>
    <row r="31" spans="1:43">
      <c r="J31"/>
    </row>
    <row r="32" spans="1:43">
      <c r="J32"/>
    </row>
    <row r="33" spans="10:10">
      <c r="J33"/>
    </row>
    <row r="34" spans="10:10">
      <c r="J34"/>
    </row>
    <row r="35" spans="10:10">
      <c r="J35"/>
    </row>
    <row r="36" spans="10:10">
      <c r="J36"/>
    </row>
    <row r="37" spans="10:10">
      <c r="J37"/>
    </row>
    <row r="38" spans="10:10">
      <c r="J38"/>
    </row>
    <row r="39" spans="10:10">
      <c r="J39"/>
    </row>
    <row r="40" spans="10:10">
      <c r="J40"/>
    </row>
    <row r="41" spans="10:10">
      <c r="J41"/>
    </row>
    <row r="42" spans="10:10">
      <c r="J42"/>
    </row>
    <row r="43" spans="10:10">
      <c r="J43"/>
    </row>
    <row r="44" spans="10:10">
      <c r="J44"/>
    </row>
    <row r="45" spans="10:10">
      <c r="J45"/>
    </row>
    <row r="46" spans="10:10">
      <c r="J46"/>
    </row>
    <row r="47" spans="10:10">
      <c r="J47"/>
    </row>
    <row r="48" spans="10:10">
      <c r="J48"/>
    </row>
    <row r="49" spans="10:10">
      <c r="J49"/>
    </row>
    <row r="50" spans="10:10">
      <c r="J50"/>
    </row>
    <row r="51" spans="10:10">
      <c r="J51"/>
    </row>
    <row r="52" spans="10:10">
      <c r="J52"/>
    </row>
    <row r="53" spans="10:10">
      <c r="J53"/>
    </row>
    <row r="54" spans="10:10">
      <c r="J54"/>
    </row>
    <row r="55" spans="10:10">
      <c r="J55"/>
    </row>
    <row r="56" spans="10:10">
      <c r="J56"/>
    </row>
    <row r="57" spans="10:10">
      <c r="J57"/>
    </row>
    <row r="58" spans="10:10">
      <c r="J58"/>
    </row>
    <row r="59" spans="10:10">
      <c r="J59"/>
    </row>
    <row r="60" spans="10:10">
      <c r="J60"/>
    </row>
    <row r="61" spans="10:10">
      <c r="J61"/>
    </row>
    <row r="62" spans="10:10">
      <c r="J62"/>
    </row>
    <row r="63" spans="10:10">
      <c r="J63"/>
    </row>
    <row r="64" spans="10:10">
      <c r="J64"/>
    </row>
    <row r="65" spans="10:10">
      <c r="J65"/>
    </row>
    <row r="66" spans="10:10">
      <c r="J66"/>
    </row>
    <row r="67" spans="10:10">
      <c r="J67"/>
    </row>
    <row r="68" spans="10:10">
      <c r="J68"/>
    </row>
    <row r="69" spans="10:10">
      <c r="J69"/>
    </row>
    <row r="70" spans="10:10">
      <c r="J70"/>
    </row>
    <row r="71" spans="10:10">
      <c r="J71"/>
    </row>
    <row r="72" spans="10:10">
      <c r="J72"/>
    </row>
    <row r="73" spans="10:10">
      <c r="J73"/>
    </row>
    <row r="74" spans="10:10">
      <c r="J74"/>
    </row>
    <row r="75" spans="10:10">
      <c r="J75"/>
    </row>
    <row r="76" spans="10:10">
      <c r="J76"/>
    </row>
    <row r="77" spans="10:10">
      <c r="J77"/>
    </row>
    <row r="78" spans="10:10">
      <c r="J78"/>
    </row>
    <row r="79" spans="10:10">
      <c r="J79"/>
    </row>
    <row r="80" spans="10:10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/>
    </row>
    <row r="571" spans="10:10">
      <c r="J571"/>
    </row>
    <row r="572" spans="10:10">
      <c r="J572"/>
    </row>
    <row r="573" spans="10:10">
      <c r="J573"/>
    </row>
    <row r="574" spans="10:10">
      <c r="J574"/>
    </row>
    <row r="575" spans="10:10">
      <c r="J575"/>
    </row>
    <row r="576" spans="10:10">
      <c r="J576"/>
    </row>
    <row r="577" spans="10:10">
      <c r="J577"/>
    </row>
    <row r="578" spans="10:10">
      <c r="J578"/>
    </row>
    <row r="579" spans="10:10">
      <c r="J579"/>
    </row>
    <row r="580" spans="10:10">
      <c r="J580"/>
    </row>
    <row r="581" spans="10:10">
      <c r="J581"/>
    </row>
    <row r="582" spans="10:10">
      <c r="J582"/>
    </row>
    <row r="583" spans="10:10">
      <c r="J583"/>
    </row>
    <row r="584" spans="10:10">
      <c r="J584"/>
    </row>
    <row r="585" spans="10:10">
      <c r="J585"/>
    </row>
    <row r="586" spans="10:10">
      <c r="J586"/>
    </row>
    <row r="587" spans="10:10">
      <c r="J587"/>
    </row>
    <row r="588" spans="10:10">
      <c r="J588"/>
    </row>
    <row r="589" spans="10:10">
      <c r="J589"/>
    </row>
    <row r="590" spans="10:10">
      <c r="J590"/>
    </row>
    <row r="591" spans="10:10">
      <c r="J591"/>
    </row>
    <row r="592" spans="10:10">
      <c r="J592"/>
    </row>
    <row r="593" spans="10:10">
      <c r="J593"/>
    </row>
    <row r="594" spans="10:10">
      <c r="J594"/>
    </row>
    <row r="595" spans="10:10">
      <c r="J595"/>
    </row>
    <row r="596" spans="10:10">
      <c r="J596"/>
    </row>
    <row r="597" spans="10:10">
      <c r="J597"/>
    </row>
    <row r="598" spans="10:10">
      <c r="J598"/>
    </row>
    <row r="599" spans="10:10">
      <c r="J599"/>
    </row>
    <row r="600" spans="10:10">
      <c r="J600"/>
    </row>
    <row r="601" spans="10:10">
      <c r="J601"/>
    </row>
    <row r="602" spans="10:10">
      <c r="J602"/>
    </row>
    <row r="603" spans="10:10">
      <c r="J603"/>
    </row>
    <row r="604" spans="10:10">
      <c r="J604"/>
    </row>
    <row r="605" spans="10:10">
      <c r="J605"/>
    </row>
    <row r="606" spans="10:10">
      <c r="J606"/>
    </row>
    <row r="607" spans="10:10">
      <c r="J607"/>
    </row>
    <row r="608" spans="10:10">
      <c r="J608"/>
    </row>
    <row r="609" spans="10:10">
      <c r="J609"/>
    </row>
    <row r="610" spans="10:10">
      <c r="J610"/>
    </row>
    <row r="611" spans="10:10">
      <c r="J611"/>
    </row>
    <row r="612" spans="10:10">
      <c r="J612"/>
    </row>
    <row r="613" spans="10:10">
      <c r="J613"/>
    </row>
    <row r="614" spans="10:10">
      <c r="J614"/>
    </row>
    <row r="615" spans="10:10">
      <c r="J615"/>
    </row>
    <row r="616" spans="10:10">
      <c r="J616"/>
    </row>
    <row r="617" spans="10:10">
      <c r="J617"/>
    </row>
    <row r="618" spans="10:10">
      <c r="J618"/>
    </row>
    <row r="619" spans="10:10">
      <c r="J619"/>
    </row>
    <row r="620" spans="10:10">
      <c r="J620"/>
    </row>
    <row r="621" spans="10:10">
      <c r="J621"/>
    </row>
    <row r="622" spans="10:10">
      <c r="J622"/>
    </row>
    <row r="623" spans="10:10">
      <c r="J623"/>
    </row>
    <row r="624" spans="10:10">
      <c r="J624"/>
    </row>
    <row r="625" spans="10:10">
      <c r="J625"/>
    </row>
    <row r="626" spans="10:10">
      <c r="J626"/>
    </row>
    <row r="627" spans="10:10">
      <c r="J627"/>
    </row>
    <row r="628" spans="10:10">
      <c r="J628"/>
    </row>
    <row r="629" spans="10:10">
      <c r="J629"/>
    </row>
    <row r="630" spans="10:10">
      <c r="J630"/>
    </row>
    <row r="631" spans="10:10">
      <c r="J631"/>
    </row>
    <row r="632" spans="10:10">
      <c r="J632"/>
    </row>
    <row r="633" spans="10:10">
      <c r="J633"/>
    </row>
    <row r="634" spans="10:10">
      <c r="J634"/>
    </row>
    <row r="635" spans="10:10">
      <c r="J635"/>
    </row>
    <row r="636" spans="10:10">
      <c r="J636"/>
    </row>
    <row r="637" spans="10:10">
      <c r="J637"/>
    </row>
    <row r="638" spans="10:10">
      <c r="J638"/>
    </row>
    <row r="639" spans="10:10">
      <c r="J639"/>
    </row>
    <row r="640" spans="10:10">
      <c r="J640"/>
    </row>
    <row r="641" spans="10:10">
      <c r="J641"/>
    </row>
    <row r="642" spans="10:10">
      <c r="J642"/>
    </row>
    <row r="643" spans="10:10">
      <c r="J643"/>
    </row>
    <row r="644" spans="10:10">
      <c r="J644"/>
    </row>
    <row r="645" spans="10:10">
      <c r="J645"/>
    </row>
    <row r="646" spans="10:10">
      <c r="J646"/>
    </row>
    <row r="647" spans="10:10">
      <c r="J647"/>
    </row>
    <row r="648" spans="10:10">
      <c r="J648"/>
    </row>
    <row r="649" spans="10:10">
      <c r="J649"/>
    </row>
    <row r="650" spans="10:10">
      <c r="J650"/>
    </row>
    <row r="651" spans="10:10">
      <c r="J651"/>
    </row>
    <row r="652" spans="10:10">
      <c r="J652"/>
    </row>
    <row r="653" spans="10:10">
      <c r="J653"/>
    </row>
    <row r="654" spans="10:10">
      <c r="J654"/>
    </row>
    <row r="655" spans="10:10">
      <c r="J655"/>
    </row>
    <row r="656" spans="10:10">
      <c r="J656"/>
    </row>
    <row r="657" spans="10:10">
      <c r="J657"/>
    </row>
    <row r="658" spans="10:10">
      <c r="J658"/>
    </row>
    <row r="659" spans="10:10">
      <c r="J659"/>
    </row>
    <row r="660" spans="10:10">
      <c r="J660"/>
    </row>
    <row r="661" spans="10:10">
      <c r="J661"/>
    </row>
    <row r="662" spans="10:10">
      <c r="J662"/>
    </row>
    <row r="663" spans="10:10">
      <c r="J663"/>
    </row>
    <row r="664" spans="10:10">
      <c r="J664"/>
    </row>
    <row r="665" spans="10:10">
      <c r="J665"/>
    </row>
    <row r="666" spans="10:10">
      <c r="J666"/>
    </row>
    <row r="667" spans="10:10">
      <c r="J667"/>
    </row>
    <row r="668" spans="10:10">
      <c r="J668"/>
    </row>
    <row r="669" spans="10:10">
      <c r="J669"/>
    </row>
    <row r="670" spans="10:10">
      <c r="J670"/>
    </row>
    <row r="671" spans="10:10">
      <c r="J671"/>
    </row>
    <row r="672" spans="10:10">
      <c r="J672"/>
    </row>
    <row r="673" spans="10:10">
      <c r="J673"/>
    </row>
    <row r="674" spans="10:10">
      <c r="J674"/>
    </row>
    <row r="675" spans="10:10">
      <c r="J675"/>
    </row>
    <row r="676" spans="10:10">
      <c r="J676"/>
    </row>
    <row r="677" spans="10:10">
      <c r="J677"/>
    </row>
    <row r="678" spans="10:10">
      <c r="J678"/>
    </row>
    <row r="679" spans="10:10">
      <c r="J679"/>
    </row>
    <row r="680" spans="10:10">
      <c r="J680"/>
    </row>
    <row r="681" spans="10:10">
      <c r="J681"/>
    </row>
    <row r="682" spans="10:10">
      <c r="J682"/>
    </row>
    <row r="683" spans="10:10">
      <c r="J683"/>
    </row>
    <row r="684" spans="10:10">
      <c r="J684"/>
    </row>
    <row r="685" spans="10:10">
      <c r="J685"/>
    </row>
    <row r="686" spans="10:10">
      <c r="J686"/>
    </row>
    <row r="687" spans="10:10">
      <c r="J687"/>
    </row>
    <row r="688" spans="10:10">
      <c r="J688"/>
    </row>
    <row r="689" spans="10:10">
      <c r="J689"/>
    </row>
    <row r="690" spans="10:10">
      <c r="J690"/>
    </row>
    <row r="691" spans="10:10">
      <c r="J691"/>
    </row>
    <row r="692" spans="10:10">
      <c r="J692"/>
    </row>
    <row r="693" spans="10:10">
      <c r="J693"/>
    </row>
    <row r="694" spans="10:10">
      <c r="J694"/>
    </row>
    <row r="695" spans="10:10">
      <c r="J695"/>
    </row>
    <row r="696" spans="10:10">
      <c r="J696"/>
    </row>
    <row r="697" spans="10:10">
      <c r="J697"/>
    </row>
    <row r="698" spans="10:10">
      <c r="J698"/>
    </row>
    <row r="699" spans="10:10">
      <c r="J699"/>
    </row>
    <row r="700" spans="10:10">
      <c r="J700"/>
    </row>
    <row r="701" spans="10:10">
      <c r="J701"/>
    </row>
    <row r="702" spans="10:10">
      <c r="J702"/>
    </row>
    <row r="703" spans="10:10">
      <c r="J703"/>
    </row>
    <row r="704" spans="10:10">
      <c r="J704"/>
    </row>
    <row r="705" spans="10:10">
      <c r="J705"/>
    </row>
    <row r="706" spans="10:10">
      <c r="J706"/>
    </row>
    <row r="707" spans="10:10">
      <c r="J707"/>
    </row>
    <row r="708" spans="10:10">
      <c r="J708"/>
    </row>
    <row r="709" spans="10:10">
      <c r="J709"/>
    </row>
    <row r="710" spans="10:10">
      <c r="J710"/>
    </row>
    <row r="711" spans="10:10">
      <c r="J711"/>
    </row>
    <row r="712" spans="10:10">
      <c r="J712"/>
    </row>
    <row r="713" spans="10:10">
      <c r="J713"/>
    </row>
    <row r="714" spans="10:10">
      <c r="J714"/>
    </row>
    <row r="715" spans="10:10">
      <c r="J715"/>
    </row>
    <row r="716" spans="10:10">
      <c r="J716"/>
    </row>
    <row r="717" spans="10:10">
      <c r="J717"/>
    </row>
    <row r="718" spans="10:10">
      <c r="J718"/>
    </row>
    <row r="719" spans="10:10">
      <c r="J719"/>
    </row>
    <row r="720" spans="10:10">
      <c r="J720"/>
    </row>
    <row r="721" spans="10:10">
      <c r="J721"/>
    </row>
    <row r="722" spans="10:10">
      <c r="J722"/>
    </row>
    <row r="723" spans="10:10">
      <c r="J723"/>
    </row>
    <row r="724" spans="10:10">
      <c r="J724"/>
    </row>
    <row r="725" spans="10:10">
      <c r="J725"/>
    </row>
    <row r="726" spans="10:10">
      <c r="J726"/>
    </row>
    <row r="727" spans="10:10">
      <c r="J727"/>
    </row>
    <row r="728" spans="10:10">
      <c r="J728"/>
    </row>
    <row r="729" spans="10:10">
      <c r="J729"/>
    </row>
    <row r="730" spans="10:10">
      <c r="J730"/>
    </row>
    <row r="731" spans="10:10">
      <c r="J731"/>
    </row>
    <row r="732" spans="10:10">
      <c r="J732"/>
    </row>
    <row r="733" spans="10:10">
      <c r="J733"/>
    </row>
    <row r="734" spans="10:10">
      <c r="J734"/>
    </row>
    <row r="735" spans="10:10">
      <c r="J735"/>
    </row>
    <row r="736" spans="10:10">
      <c r="J736"/>
    </row>
    <row r="737" spans="10:10">
      <c r="J737"/>
    </row>
    <row r="738" spans="10:10">
      <c r="J738"/>
    </row>
    <row r="739" spans="10:10">
      <c r="J739"/>
    </row>
    <row r="740" spans="10:10">
      <c r="J740"/>
    </row>
    <row r="741" spans="10:10">
      <c r="J741"/>
    </row>
    <row r="742" spans="10:10">
      <c r="J742"/>
    </row>
    <row r="743" spans="10:10">
      <c r="J743"/>
    </row>
    <row r="744" spans="10:10">
      <c r="J744"/>
    </row>
    <row r="745" spans="10:10">
      <c r="J745"/>
    </row>
    <row r="746" spans="10:10">
      <c r="J746"/>
    </row>
    <row r="747" spans="10:10">
      <c r="J747"/>
    </row>
    <row r="748" spans="10:10">
      <c r="J748"/>
    </row>
    <row r="749" spans="10:10">
      <c r="J749"/>
    </row>
    <row r="750" spans="10:10">
      <c r="J750"/>
    </row>
    <row r="751" spans="10:10">
      <c r="J751"/>
    </row>
    <row r="752" spans="10:10">
      <c r="J752"/>
    </row>
    <row r="753" spans="10:10">
      <c r="J753"/>
    </row>
    <row r="754" spans="10:10">
      <c r="J754"/>
    </row>
    <row r="755" spans="10:10">
      <c r="J755"/>
    </row>
    <row r="756" spans="10:10">
      <c r="J756"/>
    </row>
    <row r="757" spans="10:10">
      <c r="J757"/>
    </row>
    <row r="758" spans="10:10">
      <c r="J758"/>
    </row>
    <row r="759" spans="10:10">
      <c r="J759"/>
    </row>
    <row r="760" spans="10:10">
      <c r="J760"/>
    </row>
    <row r="761" spans="10:10">
      <c r="J761"/>
    </row>
    <row r="762" spans="10:10">
      <c r="J762"/>
    </row>
    <row r="763" spans="10:10">
      <c r="J763"/>
    </row>
    <row r="764" spans="10:10">
      <c r="J764"/>
    </row>
    <row r="765" spans="10:10">
      <c r="J765"/>
    </row>
    <row r="766" spans="10:10">
      <c r="J766"/>
    </row>
    <row r="767" spans="10:10">
      <c r="J767"/>
    </row>
    <row r="768" spans="10:10">
      <c r="J768"/>
    </row>
    <row r="769" spans="10:10">
      <c r="J769"/>
    </row>
    <row r="770" spans="10:10">
      <c r="J770"/>
    </row>
    <row r="771" spans="10:10">
      <c r="J771"/>
    </row>
    <row r="772" spans="10:10">
      <c r="J772"/>
    </row>
    <row r="773" spans="10:10">
      <c r="J773"/>
    </row>
    <row r="774" spans="10:10">
      <c r="J774"/>
    </row>
    <row r="775" spans="10:10">
      <c r="J775"/>
    </row>
    <row r="776" spans="10:10">
      <c r="J776"/>
    </row>
    <row r="777" spans="10:10">
      <c r="J777"/>
    </row>
    <row r="778" spans="10:10">
      <c r="J778"/>
    </row>
    <row r="779" spans="10:10">
      <c r="J779"/>
    </row>
    <row r="780" spans="10:10">
      <c r="J780"/>
    </row>
    <row r="781" spans="10:10">
      <c r="J781"/>
    </row>
    <row r="782" spans="10:10">
      <c r="J782"/>
    </row>
    <row r="783" spans="10:10">
      <c r="J783"/>
    </row>
    <row r="784" spans="10:10">
      <c r="J784"/>
    </row>
    <row r="785" spans="10:10">
      <c r="J785"/>
    </row>
    <row r="786" spans="10:10">
      <c r="J786"/>
    </row>
    <row r="787" spans="10:10">
      <c r="J787"/>
    </row>
    <row r="788" spans="10:10">
      <c r="J788"/>
    </row>
    <row r="789" spans="10:10">
      <c r="J789"/>
    </row>
    <row r="790" spans="10:10">
      <c r="J790"/>
    </row>
    <row r="791" spans="10:10">
      <c r="J791"/>
    </row>
    <row r="792" spans="10:10">
      <c r="J792"/>
    </row>
    <row r="793" spans="10:10">
      <c r="J793"/>
    </row>
    <row r="794" spans="10:10">
      <c r="J794"/>
    </row>
    <row r="795" spans="10:10">
      <c r="J795"/>
    </row>
    <row r="796" spans="10:10">
      <c r="J796"/>
    </row>
    <row r="797" spans="10:10">
      <c r="J797"/>
    </row>
    <row r="798" spans="10:10">
      <c r="J798"/>
    </row>
    <row r="799" spans="10:10">
      <c r="J799"/>
    </row>
    <row r="800" spans="10:10">
      <c r="J800"/>
    </row>
    <row r="801" spans="10:10">
      <c r="J801"/>
    </row>
    <row r="802" spans="10:10">
      <c r="J802"/>
    </row>
    <row r="803" spans="10:10">
      <c r="J803"/>
    </row>
    <row r="804" spans="10:10">
      <c r="J804"/>
    </row>
    <row r="805" spans="10:10">
      <c r="J805"/>
    </row>
    <row r="806" spans="10:10">
      <c r="J806"/>
    </row>
    <row r="807" spans="10:10">
      <c r="J807"/>
    </row>
    <row r="808" spans="10:10">
      <c r="J808"/>
    </row>
    <row r="809" spans="10:10">
      <c r="J809"/>
    </row>
    <row r="810" spans="10:10">
      <c r="J810"/>
    </row>
    <row r="811" spans="10:10">
      <c r="J811"/>
    </row>
    <row r="812" spans="10:10">
      <c r="J812"/>
    </row>
    <row r="813" spans="10:10">
      <c r="J813"/>
    </row>
    <row r="814" spans="10:10">
      <c r="J814"/>
    </row>
    <row r="815" spans="10:10">
      <c r="J815"/>
    </row>
    <row r="816" spans="10:10">
      <c r="J816"/>
    </row>
    <row r="817" spans="10:10">
      <c r="J817"/>
    </row>
    <row r="818" spans="10:10">
      <c r="J818"/>
    </row>
    <row r="819" spans="10:10">
      <c r="J819"/>
    </row>
    <row r="820" spans="10:10">
      <c r="J820"/>
    </row>
    <row r="821" spans="10:10">
      <c r="J821"/>
    </row>
    <row r="822" spans="10:10">
      <c r="J822"/>
    </row>
    <row r="823" spans="10:10">
      <c r="J823"/>
    </row>
    <row r="824" spans="10:10">
      <c r="J824"/>
    </row>
    <row r="825" spans="10:10">
      <c r="J825"/>
    </row>
    <row r="826" spans="10:10">
      <c r="J826"/>
    </row>
    <row r="827" spans="10:10">
      <c r="J827"/>
    </row>
    <row r="828" spans="10:10">
      <c r="J828"/>
    </row>
    <row r="829" spans="10:10">
      <c r="J829"/>
    </row>
    <row r="830" spans="10:10">
      <c r="J830"/>
    </row>
    <row r="831" spans="10:10">
      <c r="J831"/>
    </row>
    <row r="832" spans="10:10">
      <c r="J832"/>
    </row>
    <row r="833" spans="10:10">
      <c r="J833"/>
    </row>
    <row r="834" spans="10:10">
      <c r="J834"/>
    </row>
    <row r="835" spans="10:10">
      <c r="J835"/>
    </row>
    <row r="836" spans="10:10">
      <c r="J836"/>
    </row>
    <row r="837" spans="10:10">
      <c r="J837"/>
    </row>
    <row r="838" spans="10:10">
      <c r="J838"/>
    </row>
    <row r="839" spans="10:10">
      <c r="J839"/>
    </row>
    <row r="840" spans="10:10">
      <c r="J840"/>
    </row>
    <row r="841" spans="10:10">
      <c r="J841"/>
    </row>
    <row r="842" spans="10:10">
      <c r="J842"/>
    </row>
    <row r="843" spans="10:10">
      <c r="J843"/>
    </row>
    <row r="844" spans="10:10">
      <c r="J844"/>
    </row>
    <row r="845" spans="10:10">
      <c r="J845"/>
    </row>
    <row r="846" spans="10:10">
      <c r="J846"/>
    </row>
    <row r="847" spans="10:10">
      <c r="J847"/>
    </row>
    <row r="848" spans="10:10">
      <c r="J848"/>
    </row>
    <row r="849" spans="10:10">
      <c r="J849"/>
    </row>
    <row r="850" spans="10:10">
      <c r="J850"/>
    </row>
    <row r="851" spans="10:10">
      <c r="J851"/>
    </row>
    <row r="852" spans="10:10">
      <c r="J852"/>
    </row>
    <row r="853" spans="10:10">
      <c r="J853"/>
    </row>
    <row r="854" spans="10:10">
      <c r="J854"/>
    </row>
    <row r="855" spans="10:10">
      <c r="J855"/>
    </row>
    <row r="856" spans="10:10">
      <c r="J856"/>
    </row>
    <row r="857" spans="10:10">
      <c r="J857"/>
    </row>
    <row r="858" spans="10:10">
      <c r="J858"/>
    </row>
    <row r="859" spans="10:10">
      <c r="J859"/>
    </row>
    <row r="860" spans="10:10">
      <c r="J860"/>
    </row>
    <row r="861" spans="10:10">
      <c r="J861"/>
    </row>
    <row r="862" spans="10:10">
      <c r="J862"/>
    </row>
    <row r="863" spans="10:10">
      <c r="J863"/>
    </row>
    <row r="864" spans="10:10">
      <c r="J864"/>
    </row>
    <row r="865" spans="10:10">
      <c r="J865"/>
    </row>
    <row r="866" spans="10:10">
      <c r="J866"/>
    </row>
    <row r="867" spans="10:10">
      <c r="J867"/>
    </row>
    <row r="868" spans="10:10">
      <c r="J868"/>
    </row>
    <row r="869" spans="10:10">
      <c r="J869"/>
    </row>
    <row r="870" spans="10:10">
      <c r="J870"/>
    </row>
    <row r="871" spans="10:10">
      <c r="J871"/>
    </row>
    <row r="872" spans="10:10">
      <c r="J872"/>
    </row>
    <row r="873" spans="10:10">
      <c r="J873"/>
    </row>
    <row r="874" spans="10:10">
      <c r="J874"/>
    </row>
    <row r="875" spans="10:10">
      <c r="J875"/>
    </row>
    <row r="876" spans="10:10">
      <c r="J876"/>
    </row>
    <row r="877" spans="10:10">
      <c r="J877"/>
    </row>
    <row r="878" spans="10:10">
      <c r="J878"/>
    </row>
    <row r="879" spans="10:10">
      <c r="J879"/>
    </row>
    <row r="880" spans="10:10">
      <c r="J880"/>
    </row>
    <row r="881" spans="10:10">
      <c r="J881"/>
    </row>
    <row r="882" spans="10:10">
      <c r="J882"/>
    </row>
    <row r="883" spans="10:10">
      <c r="J883"/>
    </row>
    <row r="884" spans="10:10">
      <c r="J884"/>
    </row>
    <row r="885" spans="10:10">
      <c r="J885"/>
    </row>
    <row r="886" spans="10:10">
      <c r="J886"/>
    </row>
    <row r="887" spans="10:10">
      <c r="J887"/>
    </row>
    <row r="888" spans="10:10">
      <c r="J888"/>
    </row>
    <row r="889" spans="10:10">
      <c r="J889"/>
    </row>
    <row r="890" spans="10:10">
      <c r="J890"/>
    </row>
    <row r="891" spans="10:10">
      <c r="J891"/>
    </row>
    <row r="892" spans="10:10">
      <c r="J892"/>
    </row>
    <row r="893" spans="10:10">
      <c r="J893"/>
    </row>
    <row r="894" spans="10:10">
      <c r="J894"/>
    </row>
    <row r="895" spans="10:10">
      <c r="J895"/>
    </row>
    <row r="896" spans="10:10">
      <c r="J896"/>
    </row>
    <row r="897" spans="10:10">
      <c r="J897"/>
    </row>
    <row r="898" spans="10:10">
      <c r="J898"/>
    </row>
    <row r="899" spans="10:10">
      <c r="J899"/>
    </row>
    <row r="900" spans="10:10">
      <c r="J900"/>
    </row>
    <row r="901" spans="10:10">
      <c r="J901"/>
    </row>
    <row r="902" spans="10:10">
      <c r="J902"/>
    </row>
    <row r="903" spans="10:10">
      <c r="J903"/>
    </row>
    <row r="904" spans="10:10">
      <c r="J904"/>
    </row>
    <row r="905" spans="10:10">
      <c r="J905"/>
    </row>
    <row r="906" spans="10:10">
      <c r="J906"/>
    </row>
    <row r="907" spans="10:10">
      <c r="J907"/>
    </row>
    <row r="908" spans="10:10">
      <c r="J908"/>
    </row>
    <row r="909" spans="10:10">
      <c r="J909"/>
    </row>
    <row r="910" spans="10:10">
      <c r="J910"/>
    </row>
    <row r="911" spans="10:10">
      <c r="J911"/>
    </row>
    <row r="912" spans="10:10">
      <c r="J912"/>
    </row>
    <row r="913" spans="10:10">
      <c r="J913"/>
    </row>
    <row r="914" spans="10:10">
      <c r="J914"/>
    </row>
    <row r="915" spans="10:10">
      <c r="J915"/>
    </row>
    <row r="916" spans="10:10">
      <c r="J916"/>
    </row>
    <row r="917" spans="10:10">
      <c r="J917"/>
    </row>
    <row r="918" spans="10:10">
      <c r="J918"/>
    </row>
    <row r="919" spans="10:10">
      <c r="J919"/>
    </row>
    <row r="920" spans="10:10">
      <c r="J920"/>
    </row>
    <row r="921" spans="10:10">
      <c r="J921"/>
    </row>
    <row r="922" spans="10:10">
      <c r="J922"/>
    </row>
    <row r="923" spans="10:10">
      <c r="J923"/>
    </row>
    <row r="924" spans="10:10">
      <c r="J924"/>
    </row>
    <row r="925" spans="10:10">
      <c r="J925"/>
    </row>
    <row r="926" spans="10:10">
      <c r="J926"/>
    </row>
    <row r="927" spans="10:10">
      <c r="J927"/>
    </row>
    <row r="928" spans="10:10">
      <c r="J928"/>
    </row>
    <row r="929" spans="10:10">
      <c r="J929"/>
    </row>
    <row r="930" spans="10:10">
      <c r="J930"/>
    </row>
    <row r="931" spans="10:10">
      <c r="J931"/>
    </row>
    <row r="932" spans="10:10">
      <c r="J932"/>
    </row>
    <row r="933" spans="10:10">
      <c r="J933"/>
    </row>
    <row r="934" spans="10:10">
      <c r="J934"/>
    </row>
    <row r="935" spans="10:10">
      <c r="J935"/>
    </row>
    <row r="936" spans="10:10">
      <c r="J936"/>
    </row>
    <row r="937" spans="10:10">
      <c r="J937"/>
    </row>
    <row r="938" spans="10:10">
      <c r="J938"/>
    </row>
    <row r="939" spans="10:10">
      <c r="J939"/>
    </row>
    <row r="940" spans="10:10">
      <c r="J940"/>
    </row>
    <row r="941" spans="10:10">
      <c r="J941"/>
    </row>
    <row r="942" spans="10:10">
      <c r="J942"/>
    </row>
    <row r="943" spans="10:10">
      <c r="J943"/>
    </row>
    <row r="944" spans="10:10">
      <c r="J944"/>
    </row>
    <row r="945" spans="10:10">
      <c r="J945"/>
    </row>
    <row r="946" spans="10:10">
      <c r="J946"/>
    </row>
    <row r="947" spans="10:10">
      <c r="J947"/>
    </row>
    <row r="948" spans="10:10">
      <c r="J948"/>
    </row>
    <row r="949" spans="10:10">
      <c r="J949"/>
    </row>
    <row r="950" spans="10:10">
      <c r="J950"/>
    </row>
    <row r="951" spans="10:10">
      <c r="J951"/>
    </row>
    <row r="952" spans="10:10">
      <c r="J952"/>
    </row>
    <row r="953" spans="10:10">
      <c r="J953"/>
    </row>
    <row r="954" spans="10:10">
      <c r="J954"/>
    </row>
    <row r="955" spans="10:10">
      <c r="J955"/>
    </row>
    <row r="956" spans="10:10">
      <c r="J956"/>
    </row>
    <row r="957" spans="10:10">
      <c r="J957"/>
    </row>
    <row r="958" spans="10:10">
      <c r="J958"/>
    </row>
    <row r="959" spans="10:10">
      <c r="J959"/>
    </row>
    <row r="960" spans="10:10">
      <c r="J960"/>
    </row>
    <row r="961" spans="10:10">
      <c r="J961"/>
    </row>
    <row r="962" spans="10:10">
      <c r="J962"/>
    </row>
    <row r="963" spans="10:10">
      <c r="J963"/>
    </row>
    <row r="964" spans="10:10">
      <c r="J964"/>
    </row>
    <row r="965" spans="10:10">
      <c r="J965"/>
    </row>
    <row r="966" spans="10:10">
      <c r="J966"/>
    </row>
    <row r="967" spans="10:10">
      <c r="J967"/>
    </row>
    <row r="968" spans="10:10">
      <c r="J968"/>
    </row>
    <row r="969" spans="10:10">
      <c r="J969"/>
    </row>
    <row r="970" spans="10:10">
      <c r="J970"/>
    </row>
    <row r="971" spans="10:10">
      <c r="J971"/>
    </row>
    <row r="972" spans="10:10">
      <c r="J972"/>
    </row>
    <row r="973" spans="10:10">
      <c r="J973"/>
    </row>
    <row r="974" spans="10:10">
      <c r="J974"/>
    </row>
    <row r="975" spans="10:10">
      <c r="J975"/>
    </row>
    <row r="976" spans="10:10">
      <c r="J976"/>
    </row>
    <row r="977" spans="10:10">
      <c r="J977"/>
    </row>
    <row r="978" spans="10:10">
      <c r="J978"/>
    </row>
    <row r="979" spans="10:10">
      <c r="J979"/>
    </row>
    <row r="980" spans="10:10">
      <c r="J980"/>
    </row>
    <row r="981" spans="10:10">
      <c r="J981"/>
    </row>
    <row r="982" spans="10:10">
      <c r="J982"/>
    </row>
    <row r="983" spans="10:10">
      <c r="J983"/>
    </row>
    <row r="984" spans="10:10">
      <c r="J984"/>
    </row>
    <row r="985" spans="10:10">
      <c r="J985"/>
    </row>
    <row r="986" spans="10:10">
      <c r="J986"/>
    </row>
    <row r="987" spans="10:10">
      <c r="J987"/>
    </row>
    <row r="988" spans="10:10">
      <c r="J988"/>
    </row>
    <row r="989" spans="10:10">
      <c r="J989"/>
    </row>
    <row r="990" spans="10:10">
      <c r="J990"/>
    </row>
    <row r="991" spans="10:10">
      <c r="J991"/>
    </row>
    <row r="992" spans="10:10">
      <c r="J992"/>
    </row>
    <row r="993" spans="10:10">
      <c r="J993"/>
    </row>
    <row r="994" spans="10:10">
      <c r="J994"/>
    </row>
    <row r="995" spans="10:10">
      <c r="J995"/>
    </row>
    <row r="996" spans="10:10">
      <c r="J996"/>
    </row>
    <row r="997" spans="10:10">
      <c r="J997"/>
    </row>
    <row r="998" spans="10:10">
      <c r="J998"/>
    </row>
    <row r="999" spans="10:10">
      <c r="J999"/>
    </row>
    <row r="1000" spans="10:10">
      <c r="J1000"/>
    </row>
    <row r="1001" spans="10:10">
      <c r="J1001"/>
    </row>
    <row r="1002" spans="10:10">
      <c r="J1002"/>
    </row>
    <row r="1003" spans="10:10">
      <c r="J1003"/>
    </row>
    <row r="1004" spans="10:10">
      <c r="J1004"/>
    </row>
    <row r="1005" spans="10:10">
      <c r="J1005"/>
    </row>
    <row r="1006" spans="10:10">
      <c r="J1006"/>
    </row>
    <row r="1007" spans="10:10">
      <c r="J1007"/>
    </row>
    <row r="1008" spans="10:10">
      <c r="J1008"/>
    </row>
    <row r="1009" spans="10:10">
      <c r="J1009"/>
    </row>
    <row r="1010" spans="10:10">
      <c r="J1010"/>
    </row>
    <row r="1011" spans="10:10">
      <c r="J1011"/>
    </row>
    <row r="1012" spans="10:10">
      <c r="J1012"/>
    </row>
    <row r="1013" spans="10:10">
      <c r="J1013"/>
    </row>
    <row r="1014" spans="10:10">
      <c r="J1014"/>
    </row>
    <row r="1015" spans="10:10">
      <c r="J1015"/>
    </row>
    <row r="1016" spans="10:10">
      <c r="J1016"/>
    </row>
    <row r="1017" spans="10:10">
      <c r="J1017"/>
    </row>
    <row r="1018" spans="10:10">
      <c r="J1018"/>
    </row>
    <row r="1019" spans="10:10">
      <c r="J1019"/>
    </row>
    <row r="1020" spans="10:10">
      <c r="J1020"/>
    </row>
    <row r="1021" spans="10:10">
      <c r="J1021"/>
    </row>
    <row r="1022" spans="10:10">
      <c r="J1022"/>
    </row>
    <row r="1023" spans="10:10">
      <c r="J1023"/>
    </row>
    <row r="1024" spans="10:10">
      <c r="J1024"/>
    </row>
    <row r="1025" spans="10:10">
      <c r="J1025"/>
    </row>
    <row r="1026" spans="10:10">
      <c r="J1026"/>
    </row>
    <row r="1027" spans="10:10">
      <c r="J1027"/>
    </row>
    <row r="1028" spans="10:10">
      <c r="J1028"/>
    </row>
    <row r="1029" spans="10:10">
      <c r="J1029"/>
    </row>
    <row r="1030" spans="10:10">
      <c r="J1030"/>
    </row>
    <row r="1031" spans="10:10">
      <c r="J1031"/>
    </row>
    <row r="1032" spans="10:10">
      <c r="J1032"/>
    </row>
    <row r="1033" spans="10:10">
      <c r="J1033"/>
    </row>
    <row r="1034" spans="10:10">
      <c r="J1034"/>
    </row>
    <row r="1035" spans="10:10">
      <c r="J1035"/>
    </row>
    <row r="1036" spans="10:10">
      <c r="J1036"/>
    </row>
    <row r="1037" spans="10:10">
      <c r="J1037"/>
    </row>
    <row r="1038" spans="10:10">
      <c r="J1038"/>
    </row>
    <row r="1039" spans="10:10">
      <c r="J1039"/>
    </row>
    <row r="1040" spans="10:10">
      <c r="J1040"/>
    </row>
    <row r="1041" spans="10:10">
      <c r="J1041"/>
    </row>
    <row r="1042" spans="10:10">
      <c r="J1042"/>
    </row>
    <row r="1043" spans="10:10">
      <c r="J1043"/>
    </row>
    <row r="1044" spans="10:10">
      <c r="J1044"/>
    </row>
    <row r="1045" spans="10:10">
      <c r="J1045"/>
    </row>
    <row r="1046" spans="10:10">
      <c r="J1046"/>
    </row>
    <row r="1047" spans="10:10">
      <c r="J1047"/>
    </row>
    <row r="1048" spans="10:10">
      <c r="J1048"/>
    </row>
    <row r="1049" spans="10:10">
      <c r="J1049"/>
    </row>
    <row r="1050" spans="10:10">
      <c r="J1050"/>
    </row>
    <row r="1051" spans="10:10">
      <c r="J1051"/>
    </row>
    <row r="1052" spans="10:10">
      <c r="J1052"/>
    </row>
    <row r="1053" spans="10:10">
      <c r="J1053"/>
    </row>
    <row r="1054" spans="10:10">
      <c r="J1054"/>
    </row>
    <row r="1055" spans="10:10">
      <c r="J1055"/>
    </row>
    <row r="1056" spans="10:10">
      <c r="J1056"/>
    </row>
    <row r="1057" spans="10:10">
      <c r="J1057"/>
    </row>
    <row r="1058" spans="10:10">
      <c r="J1058"/>
    </row>
    <row r="1059" spans="10:10">
      <c r="J1059"/>
    </row>
    <row r="1060" spans="10:10">
      <c r="J1060"/>
    </row>
    <row r="1061" spans="10:10">
      <c r="J1061"/>
    </row>
    <row r="1062" spans="10:10">
      <c r="J1062"/>
    </row>
    <row r="1063" spans="10:10">
      <c r="J1063"/>
    </row>
    <row r="1064" spans="10:10">
      <c r="J1064"/>
    </row>
    <row r="1065" spans="10:10">
      <c r="J1065"/>
    </row>
    <row r="1066" spans="10:10">
      <c r="J1066"/>
    </row>
    <row r="1067" spans="10:10">
      <c r="J1067"/>
    </row>
    <row r="1068" spans="10:10">
      <c r="J1068"/>
    </row>
    <row r="1069" spans="10:10">
      <c r="J1069"/>
    </row>
    <row r="1070" spans="10:10">
      <c r="J1070"/>
    </row>
    <row r="1071" spans="10:10">
      <c r="J1071"/>
    </row>
    <row r="1072" spans="10:10">
      <c r="J1072"/>
    </row>
    <row r="1073" spans="10:10">
      <c r="J1073"/>
    </row>
    <row r="1074" spans="10:10">
      <c r="J1074"/>
    </row>
    <row r="1075" spans="10:10">
      <c r="J1075"/>
    </row>
    <row r="1076" spans="10:10">
      <c r="J1076"/>
    </row>
    <row r="1077" spans="10:10">
      <c r="J1077"/>
    </row>
    <row r="1078" spans="10:10">
      <c r="J1078"/>
    </row>
    <row r="1079" spans="10:10">
      <c r="J1079"/>
    </row>
    <row r="1080" spans="10:10">
      <c r="J1080"/>
    </row>
    <row r="1081" spans="10:10">
      <c r="J1081"/>
    </row>
    <row r="1082" spans="10:10">
      <c r="J1082"/>
    </row>
    <row r="1083" spans="10:10">
      <c r="J1083"/>
    </row>
    <row r="1084" spans="10:10">
      <c r="J1084"/>
    </row>
    <row r="1085" spans="10:10">
      <c r="J1085"/>
    </row>
    <row r="1086" spans="10:10">
      <c r="J1086"/>
    </row>
    <row r="1087" spans="10:10">
      <c r="J1087"/>
    </row>
    <row r="1088" spans="10:10">
      <c r="J1088"/>
    </row>
    <row r="1089" spans="10:10">
      <c r="J1089"/>
    </row>
    <row r="1090" spans="10:10">
      <c r="J1090"/>
    </row>
    <row r="1091" spans="10:10">
      <c r="J1091"/>
    </row>
    <row r="1092" spans="10:10">
      <c r="J1092"/>
    </row>
    <row r="1093" spans="10:10">
      <c r="J1093"/>
    </row>
    <row r="1094" spans="10:10">
      <c r="J1094"/>
    </row>
    <row r="1095" spans="10:10">
      <c r="J1095"/>
    </row>
    <row r="1096" spans="10:10">
      <c r="J1096"/>
    </row>
    <row r="1097" spans="10:10">
      <c r="J1097"/>
    </row>
    <row r="1098" spans="10:10">
      <c r="J1098"/>
    </row>
    <row r="1099" spans="10:10">
      <c r="J1099"/>
    </row>
    <row r="1100" spans="10:10">
      <c r="J1100"/>
    </row>
    <row r="1101" spans="10:10">
      <c r="J1101"/>
    </row>
    <row r="1102" spans="10:10">
      <c r="J1102"/>
    </row>
    <row r="1103" spans="10:10">
      <c r="J1103"/>
    </row>
    <row r="1104" spans="10:10">
      <c r="J1104"/>
    </row>
  </sheetData>
  <mergeCells count="77">
    <mergeCell ref="G28:H28"/>
    <mergeCell ref="K14:M14"/>
    <mergeCell ref="F29:H29"/>
    <mergeCell ref="K20:M20"/>
    <mergeCell ref="K21:M21"/>
    <mergeCell ref="K22:M22"/>
    <mergeCell ref="K16:M16"/>
    <mergeCell ref="K17:M17"/>
    <mergeCell ref="K18:M18"/>
    <mergeCell ref="K19:M19"/>
    <mergeCell ref="F22:H22"/>
    <mergeCell ref="F16:H16"/>
    <mergeCell ref="F17:H17"/>
    <mergeCell ref="K1:N1"/>
    <mergeCell ref="K2:L2"/>
    <mergeCell ref="M2:N2"/>
    <mergeCell ref="K3:L3"/>
    <mergeCell ref="M3:N3"/>
    <mergeCell ref="K5:M5"/>
    <mergeCell ref="K6:M6"/>
    <mergeCell ref="K7:M7"/>
    <mergeCell ref="K9:M9"/>
    <mergeCell ref="K10:M10"/>
    <mergeCell ref="K8:M8"/>
    <mergeCell ref="K11:M11"/>
    <mergeCell ref="K12:M12"/>
    <mergeCell ref="K13:M13"/>
    <mergeCell ref="F21:H21"/>
    <mergeCell ref="F12:H12"/>
    <mergeCell ref="F11:H11"/>
    <mergeCell ref="F13:H13"/>
    <mergeCell ref="F14:H14"/>
    <mergeCell ref="F15:H15"/>
    <mergeCell ref="F18:H18"/>
    <mergeCell ref="F19:H19"/>
    <mergeCell ref="K15:M15"/>
    <mergeCell ref="F20:H20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F10:H10"/>
    <mergeCell ref="F8:H8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3:C23"/>
    <mergeCell ref="A24:C24"/>
    <mergeCell ref="F23:H23"/>
    <mergeCell ref="F24:H24"/>
    <mergeCell ref="K23:M23"/>
    <mergeCell ref="K24:M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4D65-669C-4454-A1EA-DBE22A365E28}">
  <sheetPr>
    <tabColor rgb="FF66FFFF"/>
  </sheetPr>
  <dimension ref="A1:H27"/>
  <sheetViews>
    <sheetView rightToLeft="1" workbookViewId="0">
      <selection activeCell="D17" sqref="D17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8" max="8" width="18.625" bestFit="1" customWidth="1"/>
  </cols>
  <sheetData>
    <row r="1" spans="1:4" ht="18" thickBot="1">
      <c r="A1" s="135" t="s">
        <v>135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136</v>
      </c>
      <c r="D2" s="137"/>
    </row>
    <row r="3" spans="1:4" ht="21" thickBot="1">
      <c r="A3" s="136" t="s">
        <v>2</v>
      </c>
      <c r="B3" s="136"/>
      <c r="C3" s="142" t="s">
        <v>137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16559.973913043479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16559.973913043479</v>
      </c>
    </row>
    <row r="10" spans="1:4" ht="17.25" thickBot="1">
      <c r="A10" s="147" t="s">
        <v>39</v>
      </c>
      <c r="B10" s="148"/>
      <c r="C10" s="149"/>
      <c r="D10" s="50">
        <v>229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38.522057932999999</v>
      </c>
    </row>
    <row r="13" spans="1:4" ht="17.25" thickBot="1">
      <c r="A13" s="147" t="s">
        <v>297</v>
      </c>
      <c r="B13" s="148"/>
      <c r="C13" s="149"/>
      <c r="D13" s="50">
        <v>582.61</v>
      </c>
    </row>
    <row r="14" spans="1:4" ht="17.25" thickBot="1">
      <c r="A14" s="147" t="s">
        <v>43</v>
      </c>
      <c r="B14" s="148"/>
      <c r="C14" s="149"/>
      <c r="D14" s="50">
        <v>0</v>
      </c>
    </row>
    <row r="15" spans="1:4" ht="17.25" thickBot="1">
      <c r="A15" s="147" t="s">
        <v>44</v>
      </c>
      <c r="B15" s="148"/>
      <c r="C15" s="149"/>
      <c r="D15" s="50">
        <v>491.52000000000004</v>
      </c>
    </row>
    <row r="16" spans="1:4" ht="17.25" thickBot="1">
      <c r="A16" s="147" t="s">
        <v>298</v>
      </c>
      <c r="B16" s="148"/>
      <c r="C16" s="149"/>
      <c r="D16" s="50">
        <v>300</v>
      </c>
    </row>
    <row r="17" spans="1:8" ht="17.25" thickBot="1">
      <c r="A17" s="153" t="s">
        <v>48</v>
      </c>
      <c r="B17" s="154"/>
      <c r="C17" s="155"/>
      <c r="D17" s="52">
        <f>SUM(D10:D16)</f>
        <v>1641.6520579329999</v>
      </c>
    </row>
    <row r="18" spans="1:8" ht="17.25" thickBot="1">
      <c r="A18" s="156" t="s">
        <v>10</v>
      </c>
      <c r="B18" s="157"/>
      <c r="C18" s="158"/>
      <c r="D18" s="53">
        <f>D9-D17</f>
        <v>14918.32185511048</v>
      </c>
    </row>
    <row r="19" spans="1:8" ht="17.25" thickBot="1">
      <c r="A19" s="147" t="s">
        <v>20</v>
      </c>
      <c r="B19" s="148"/>
      <c r="C19" s="149"/>
      <c r="D19" s="50">
        <f>D18*0.3</f>
        <v>4475.496556533144</v>
      </c>
    </row>
    <row r="20" spans="1:8" ht="17.25" thickBot="1">
      <c r="A20" s="159" t="s">
        <v>21</v>
      </c>
      <c r="B20" s="160"/>
      <c r="C20" s="161"/>
      <c r="D20" s="54">
        <f>D18-D19</f>
        <v>10442.825298577336</v>
      </c>
    </row>
    <row r="21" spans="1:8" ht="17.25" thickBot="1">
      <c r="A21" s="147" t="s">
        <v>11</v>
      </c>
      <c r="B21" s="148"/>
      <c r="C21" s="149"/>
      <c r="D21" s="50"/>
    </row>
    <row r="22" spans="1:8" ht="17.25" thickBot="1">
      <c r="A22" s="150" t="s">
        <v>12</v>
      </c>
      <c r="B22" s="151"/>
      <c r="C22" s="152"/>
      <c r="D22" s="51">
        <f>D20-D21</f>
        <v>10442.825298577336</v>
      </c>
      <c r="H22" s="49"/>
    </row>
    <row r="23" spans="1:8" ht="17.25" thickBot="1">
      <c r="A23" s="150" t="s">
        <v>299</v>
      </c>
      <c r="B23" s="151" t="s">
        <v>299</v>
      </c>
      <c r="C23" s="152"/>
      <c r="D23" s="51">
        <v>32480.545999999998</v>
      </c>
      <c r="H23" s="49"/>
    </row>
    <row r="24" spans="1:8" ht="17.25" thickBot="1">
      <c r="A24" s="150" t="s">
        <v>300</v>
      </c>
      <c r="B24" s="151" t="s">
        <v>300</v>
      </c>
      <c r="C24" s="152"/>
      <c r="D24" s="51">
        <f>SUM(D22:D23)</f>
        <v>42923.371298577331</v>
      </c>
      <c r="H24" s="49"/>
    </row>
    <row r="25" spans="1:8" ht="16.5">
      <c r="A25" s="12" t="s">
        <v>24</v>
      </c>
      <c r="B25" s="4"/>
      <c r="C25" s="4"/>
      <c r="D25" s="5"/>
    </row>
    <row r="26" spans="1:8">
      <c r="A26" s="15" t="s">
        <v>13</v>
      </c>
      <c r="B26" s="15" t="s">
        <v>29</v>
      </c>
      <c r="C26" s="15" t="s">
        <v>25</v>
      </c>
      <c r="D26" s="16" t="s">
        <v>7</v>
      </c>
    </row>
    <row r="27" spans="1:8" ht="23.25" customHeight="1">
      <c r="A27" s="24" t="s">
        <v>138</v>
      </c>
      <c r="B27" s="41">
        <v>45528</v>
      </c>
      <c r="C27" s="26">
        <v>401014602349609</v>
      </c>
      <c r="D27" s="84">
        <v>5136.67</v>
      </c>
    </row>
  </sheetData>
  <mergeCells count="25">
    <mergeCell ref="A13:C13"/>
    <mergeCell ref="A14:C14"/>
    <mergeCell ref="A15:C15"/>
    <mergeCell ref="A17:C17"/>
    <mergeCell ref="A1:D1"/>
    <mergeCell ref="A2:B2"/>
    <mergeCell ref="C2:D2"/>
    <mergeCell ref="A3:B3"/>
    <mergeCell ref="C3:D3"/>
    <mergeCell ref="A23:C23"/>
    <mergeCell ref="A24:C24"/>
    <mergeCell ref="A18:C18"/>
    <mergeCell ref="A19:C19"/>
    <mergeCell ref="A5:C5"/>
    <mergeCell ref="A8:C8"/>
    <mergeCell ref="A20:C20"/>
    <mergeCell ref="A21:C21"/>
    <mergeCell ref="A22:C22"/>
    <mergeCell ref="A16:C16"/>
    <mergeCell ref="A6:C6"/>
    <mergeCell ref="A7:C7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9E28-196F-4F64-82B1-85016C9308A2}">
  <sheetPr>
    <tabColor rgb="FF66FFFF"/>
  </sheetPr>
  <dimension ref="A1:X29"/>
  <sheetViews>
    <sheetView rightToLeft="1" topLeftCell="I1" workbookViewId="0">
      <selection activeCell="N23" sqref="N23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0.87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0.625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0.625" customWidth="1"/>
    <col min="16" max="16" width="18" customWidth="1"/>
    <col min="17" max="17" width="12.625" customWidth="1"/>
    <col min="18" max="18" width="16.625" customWidth="1"/>
    <col min="19" max="19" width="13.375" customWidth="1"/>
    <col min="20" max="20" width="0.875" customWidth="1"/>
    <col min="21" max="21" width="18" customWidth="1"/>
    <col min="22" max="22" width="12.625" customWidth="1"/>
    <col min="23" max="23" width="35" customWidth="1"/>
    <col min="24" max="24" width="13.375" customWidth="1"/>
  </cols>
  <sheetData>
    <row r="1" spans="1:24" ht="18" thickBot="1">
      <c r="A1" s="135" t="s">
        <v>142</v>
      </c>
      <c r="B1" s="135"/>
      <c r="C1" s="135"/>
      <c r="D1" s="135"/>
      <c r="F1" s="135" t="s">
        <v>142</v>
      </c>
      <c r="G1" s="135"/>
      <c r="H1" s="135"/>
      <c r="I1" s="135"/>
      <c r="K1" s="135" t="s">
        <v>142</v>
      </c>
      <c r="L1" s="135"/>
      <c r="M1" s="135"/>
      <c r="N1" s="135"/>
      <c r="P1" s="135" t="s">
        <v>142</v>
      </c>
      <c r="Q1" s="135"/>
      <c r="R1" s="135"/>
      <c r="S1" s="135"/>
      <c r="U1" s="135" t="s">
        <v>142</v>
      </c>
      <c r="V1" s="135"/>
      <c r="W1" s="135"/>
      <c r="X1" s="135"/>
    </row>
    <row r="2" spans="1:24" ht="18" thickBot="1">
      <c r="A2" s="136" t="s">
        <v>1</v>
      </c>
      <c r="B2" s="136"/>
      <c r="C2" s="137" t="s">
        <v>136</v>
      </c>
      <c r="D2" s="137"/>
      <c r="F2" s="136" t="s">
        <v>1</v>
      </c>
      <c r="G2" s="136"/>
      <c r="H2" s="137" t="s">
        <v>31</v>
      </c>
      <c r="I2" s="137"/>
      <c r="K2" s="136" t="s">
        <v>1</v>
      </c>
      <c r="L2" s="136"/>
      <c r="M2" s="137" t="s">
        <v>130</v>
      </c>
      <c r="N2" s="137"/>
      <c r="P2" s="136" t="s">
        <v>1</v>
      </c>
      <c r="Q2" s="136"/>
      <c r="R2" s="137" t="s">
        <v>146</v>
      </c>
      <c r="S2" s="137"/>
      <c r="U2" s="136" t="s">
        <v>1</v>
      </c>
      <c r="V2" s="136"/>
      <c r="W2" s="137"/>
      <c r="X2" s="137"/>
    </row>
    <row r="3" spans="1:24" ht="21" thickBot="1">
      <c r="A3" s="136" t="s">
        <v>2</v>
      </c>
      <c r="B3" s="136"/>
      <c r="C3" s="142" t="s">
        <v>143</v>
      </c>
      <c r="D3" s="143"/>
      <c r="F3" s="136" t="s">
        <v>2</v>
      </c>
      <c r="G3" s="136"/>
      <c r="H3" s="142" t="s">
        <v>144</v>
      </c>
      <c r="I3" s="143"/>
      <c r="K3" s="136" t="s">
        <v>2</v>
      </c>
      <c r="L3" s="136"/>
      <c r="M3" s="142" t="s">
        <v>145</v>
      </c>
      <c r="N3" s="143"/>
      <c r="P3" s="136" t="s">
        <v>2</v>
      </c>
      <c r="Q3" s="136"/>
      <c r="R3" s="142" t="s">
        <v>147</v>
      </c>
      <c r="S3" s="143"/>
      <c r="U3" s="136" t="s">
        <v>2</v>
      </c>
      <c r="V3" s="136"/>
      <c r="W3" s="185" t="str">
        <f>C3&amp;"-"&amp;H3&amp;"-"&amp;M3&amp;"-"&amp;R3</f>
        <v>ر ا ل 7848-ر ر س 5946-2063 د ه و -ب ر أ 2792</v>
      </c>
      <c r="X3" s="186"/>
    </row>
    <row r="4" spans="1:24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  <c r="P4" s="4"/>
      <c r="Q4" s="4"/>
      <c r="R4" s="4"/>
      <c r="S4" s="5"/>
      <c r="U4" s="4"/>
      <c r="V4" s="4"/>
      <c r="W4" s="4"/>
      <c r="X4" s="5"/>
    </row>
    <row r="5" spans="1:2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  <c r="U5" s="144" t="s">
        <v>6</v>
      </c>
      <c r="V5" s="145"/>
      <c r="W5" s="146"/>
      <c r="X5" s="50" t="s">
        <v>7</v>
      </c>
    </row>
    <row r="6" spans="1:24" ht="17.25" thickBot="1">
      <c r="A6" s="147" t="s">
        <v>294</v>
      </c>
      <c r="B6" s="148"/>
      <c r="C6" s="149"/>
      <c r="D6" s="50">
        <v>15341.4695652174</v>
      </c>
      <c r="F6" s="147" t="s">
        <v>294</v>
      </c>
      <c r="G6" s="148"/>
      <c r="H6" s="149"/>
      <c r="I6" s="50">
        <v>10023</v>
      </c>
      <c r="K6" s="147" t="s">
        <v>294</v>
      </c>
      <c r="L6" s="148"/>
      <c r="M6" s="149"/>
      <c r="N6" s="50">
        <v>23941.739130434784</v>
      </c>
      <c r="P6" s="147" t="s">
        <v>294</v>
      </c>
      <c r="Q6" s="148"/>
      <c r="R6" s="149"/>
      <c r="S6" s="50">
        <v>33613.913043478264</v>
      </c>
      <c r="U6" s="147" t="s">
        <v>294</v>
      </c>
      <c r="V6" s="148"/>
      <c r="W6" s="149"/>
      <c r="X6" s="50">
        <f>S6+N6+I6+D6</f>
        <v>82920.121739130453</v>
      </c>
    </row>
    <row r="7" spans="1:2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50">
        <v>0</v>
      </c>
      <c r="U7" s="147" t="s">
        <v>295</v>
      </c>
      <c r="V7" s="148"/>
      <c r="W7" s="149"/>
      <c r="X7" s="50">
        <f t="shared" ref="X7:X23" si="0">S7+N7+I7+D7</f>
        <v>0</v>
      </c>
    </row>
    <row r="8" spans="1:24" ht="17.25" thickBot="1">
      <c r="A8" s="147" t="s">
        <v>296</v>
      </c>
      <c r="B8" s="148"/>
      <c r="C8" s="149"/>
      <c r="D8" s="50">
        <v>500</v>
      </c>
      <c r="F8" s="147" t="s">
        <v>296</v>
      </c>
      <c r="G8" s="148"/>
      <c r="H8" s="149"/>
      <c r="I8" s="50">
        <v>1578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>
        <v>0</v>
      </c>
      <c r="U8" s="147" t="s">
        <v>296</v>
      </c>
      <c r="V8" s="148"/>
      <c r="W8" s="149"/>
      <c r="X8" s="50">
        <f t="shared" si="0"/>
        <v>2078</v>
      </c>
    </row>
    <row r="9" spans="1:24" ht="17.25" thickBot="1">
      <c r="A9" s="150" t="s">
        <v>9</v>
      </c>
      <c r="B9" s="151"/>
      <c r="C9" s="152"/>
      <c r="D9" s="51">
        <f>SUM(D6:D8)</f>
        <v>15841.4695652174</v>
      </c>
      <c r="F9" s="150" t="s">
        <v>9</v>
      </c>
      <c r="G9" s="151"/>
      <c r="H9" s="152"/>
      <c r="I9" s="51">
        <f>SUM(I6:I8)</f>
        <v>11601</v>
      </c>
      <c r="K9" s="150" t="s">
        <v>9</v>
      </c>
      <c r="L9" s="151"/>
      <c r="M9" s="152"/>
      <c r="N9" s="51">
        <f>SUM(N6:N8)</f>
        <v>23941.739130434784</v>
      </c>
      <c r="P9" s="150" t="s">
        <v>9</v>
      </c>
      <c r="Q9" s="151"/>
      <c r="R9" s="152"/>
      <c r="S9" s="51">
        <f>SUM(S6:S8)</f>
        <v>33613.913043478264</v>
      </c>
      <c r="U9" s="150" t="s">
        <v>9</v>
      </c>
      <c r="V9" s="151"/>
      <c r="W9" s="152"/>
      <c r="X9" s="51">
        <f t="shared" si="0"/>
        <v>84998.121739130453</v>
      </c>
    </row>
    <row r="10" spans="1:24" ht="17.25" thickBot="1">
      <c r="A10" s="147" t="s">
        <v>39</v>
      </c>
      <c r="B10" s="148"/>
      <c r="C10" s="149"/>
      <c r="D10" s="50">
        <v>384.00009999999997</v>
      </c>
      <c r="F10" s="147" t="s">
        <v>39</v>
      </c>
      <c r="G10" s="148"/>
      <c r="H10" s="149"/>
      <c r="I10" s="50">
        <v>717.34</v>
      </c>
      <c r="K10" s="147" t="s">
        <v>39</v>
      </c>
      <c r="L10" s="148"/>
      <c r="M10" s="149"/>
      <c r="N10" s="50">
        <v>401.39010000000002</v>
      </c>
      <c r="P10" s="147" t="s">
        <v>39</v>
      </c>
      <c r="Q10" s="148"/>
      <c r="R10" s="149"/>
      <c r="S10" s="50">
        <v>279.64999999999998</v>
      </c>
      <c r="U10" s="147" t="s">
        <v>39</v>
      </c>
      <c r="V10" s="148"/>
      <c r="W10" s="149"/>
      <c r="X10" s="50">
        <f t="shared" si="0"/>
        <v>1782.3801999999998</v>
      </c>
    </row>
    <row r="11" spans="1:24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v>100</v>
      </c>
      <c r="P11" s="147" t="s">
        <v>40</v>
      </c>
      <c r="Q11" s="148"/>
      <c r="R11" s="149"/>
      <c r="S11" s="50">
        <v>100</v>
      </c>
      <c r="U11" s="147" t="s">
        <v>40</v>
      </c>
      <c r="V11" s="148"/>
      <c r="W11" s="149"/>
      <c r="X11" s="50">
        <f t="shared" si="0"/>
        <v>200</v>
      </c>
    </row>
    <row r="12" spans="1:24" ht="17.25" thickBot="1">
      <c r="A12" s="147" t="s">
        <v>41</v>
      </c>
      <c r="B12" s="148"/>
      <c r="C12" s="149"/>
      <c r="D12" s="50">
        <v>0</v>
      </c>
      <c r="F12" s="147" t="s">
        <v>41</v>
      </c>
      <c r="G12" s="148"/>
      <c r="H12" s="149"/>
      <c r="I12" s="50">
        <v>23.519971227999999</v>
      </c>
      <c r="K12" s="147" t="s">
        <v>41</v>
      </c>
      <c r="L12" s="148"/>
      <c r="M12" s="149"/>
      <c r="N12" s="50">
        <v>47.968837019999995</v>
      </c>
      <c r="P12" s="147" t="s">
        <v>41</v>
      </c>
      <c r="Q12" s="148"/>
      <c r="R12" s="149"/>
      <c r="S12" s="50">
        <v>210.58158994800002</v>
      </c>
      <c r="U12" s="147" t="s">
        <v>41</v>
      </c>
      <c r="V12" s="148"/>
      <c r="W12" s="149"/>
      <c r="X12" s="50">
        <f t="shared" si="0"/>
        <v>282.07039819599999</v>
      </c>
    </row>
    <row r="13" spans="1:24" ht="17.25" thickBot="1">
      <c r="A13" s="147" t="s">
        <v>297</v>
      </c>
      <c r="B13" s="148"/>
      <c r="C13" s="149"/>
      <c r="D13" s="50">
        <v>2481.65</v>
      </c>
      <c r="F13" s="147" t="s">
        <v>297</v>
      </c>
      <c r="G13" s="148"/>
      <c r="H13" s="149"/>
      <c r="I13" s="50">
        <v>2478.71</v>
      </c>
      <c r="K13" s="147" t="s">
        <v>297</v>
      </c>
      <c r="L13" s="148"/>
      <c r="M13" s="149"/>
      <c r="N13" s="50">
        <v>1035.6499999999999</v>
      </c>
      <c r="P13" s="147" t="s">
        <v>297</v>
      </c>
      <c r="Q13" s="148"/>
      <c r="R13" s="149"/>
      <c r="S13" s="50">
        <v>1120</v>
      </c>
      <c r="U13" s="147" t="s">
        <v>297</v>
      </c>
      <c r="V13" s="148"/>
      <c r="W13" s="149"/>
      <c r="X13" s="50">
        <f t="shared" si="0"/>
        <v>7116.01</v>
      </c>
    </row>
    <row r="14" spans="1:24" ht="17.25" thickBot="1">
      <c r="A14" s="147" t="s">
        <v>43</v>
      </c>
      <c r="B14" s="148"/>
      <c r="C14" s="149"/>
      <c r="D14" s="50">
        <v>0</v>
      </c>
      <c r="F14" s="147" t="s">
        <v>43</v>
      </c>
      <c r="G14" s="148"/>
      <c r="H14" s="149"/>
      <c r="I14" s="50">
        <v>875.91399999999999</v>
      </c>
      <c r="K14" s="147" t="s">
        <v>43</v>
      </c>
      <c r="L14" s="148"/>
      <c r="M14" s="149"/>
      <c r="N14" s="50">
        <v>875.91</v>
      </c>
      <c r="P14" s="147" t="s">
        <v>43</v>
      </c>
      <c r="Q14" s="148"/>
      <c r="R14" s="149"/>
      <c r="S14" s="50">
        <v>978.93000000000006</v>
      </c>
      <c r="U14" s="147" t="s">
        <v>43</v>
      </c>
      <c r="V14" s="148"/>
      <c r="W14" s="149"/>
      <c r="X14" s="50">
        <f t="shared" si="0"/>
        <v>2730.7539999999999</v>
      </c>
    </row>
    <row r="15" spans="1:24" ht="17.25" thickBot="1">
      <c r="A15" s="147" t="s">
        <v>44</v>
      </c>
      <c r="B15" s="148"/>
      <c r="C15" s="149"/>
      <c r="D15" s="50">
        <v>671.08</v>
      </c>
      <c r="F15" s="147" t="s">
        <v>44</v>
      </c>
      <c r="G15" s="148"/>
      <c r="H15" s="149"/>
      <c r="I15" s="50">
        <v>285.03999999999996</v>
      </c>
      <c r="K15" s="147" t="s">
        <v>44</v>
      </c>
      <c r="L15" s="148"/>
      <c r="M15" s="149"/>
      <c r="N15" s="50">
        <v>1091.0899999999999</v>
      </c>
      <c r="P15" s="147" t="s">
        <v>44</v>
      </c>
      <c r="Q15" s="148"/>
      <c r="R15" s="149"/>
      <c r="S15" s="50">
        <v>895.45000000000016</v>
      </c>
      <c r="U15" s="147" t="s">
        <v>44</v>
      </c>
      <c r="V15" s="148"/>
      <c r="W15" s="149"/>
      <c r="X15" s="50">
        <f t="shared" si="0"/>
        <v>2942.66</v>
      </c>
    </row>
    <row r="16" spans="1:24" ht="17.25" thickBot="1">
      <c r="A16" s="147" t="s">
        <v>298</v>
      </c>
      <c r="B16" s="148"/>
      <c r="C16" s="149"/>
      <c r="D16" s="50">
        <v>375</v>
      </c>
      <c r="F16" s="147" t="s">
        <v>298</v>
      </c>
      <c r="G16" s="148"/>
      <c r="H16" s="149"/>
      <c r="I16" s="50">
        <v>229.7</v>
      </c>
      <c r="K16" s="147" t="s">
        <v>298</v>
      </c>
      <c r="L16" s="148"/>
      <c r="M16" s="149"/>
      <c r="N16" s="50">
        <v>300</v>
      </c>
      <c r="P16" s="147" t="s">
        <v>298</v>
      </c>
      <c r="Q16" s="148"/>
      <c r="R16" s="149"/>
      <c r="S16" s="50">
        <v>1300</v>
      </c>
      <c r="U16" s="147" t="s">
        <v>298</v>
      </c>
      <c r="V16" s="148"/>
      <c r="W16" s="149"/>
      <c r="X16" s="50">
        <f t="shared" si="0"/>
        <v>2204.6999999999998</v>
      </c>
    </row>
    <row r="17" spans="1:24" ht="17.25" thickBot="1">
      <c r="A17" s="153" t="s">
        <v>48</v>
      </c>
      <c r="B17" s="154"/>
      <c r="C17" s="155"/>
      <c r="D17" s="52">
        <f>SUM(D10:D16)</f>
        <v>3911.7300999999998</v>
      </c>
      <c r="F17" s="153" t="s">
        <v>48</v>
      </c>
      <c r="G17" s="154"/>
      <c r="H17" s="155"/>
      <c r="I17" s="52">
        <f>SUM(I10:I16)</f>
        <v>4610.2239712279998</v>
      </c>
      <c r="K17" s="153" t="s">
        <v>48</v>
      </c>
      <c r="L17" s="154"/>
      <c r="M17" s="155"/>
      <c r="N17" s="52">
        <f>SUM(N10:N16)</f>
        <v>3852.0089370199994</v>
      </c>
      <c r="P17" s="153" t="s">
        <v>48</v>
      </c>
      <c r="Q17" s="154"/>
      <c r="R17" s="155"/>
      <c r="S17" s="52">
        <f>SUM(S10:S16)</f>
        <v>4884.611589948001</v>
      </c>
      <c r="U17" s="153" t="s">
        <v>48</v>
      </c>
      <c r="V17" s="154"/>
      <c r="W17" s="155"/>
      <c r="X17" s="52">
        <f t="shared" si="0"/>
        <v>17258.574598195999</v>
      </c>
    </row>
    <row r="18" spans="1:24" ht="17.25" thickBot="1">
      <c r="A18" s="156" t="s">
        <v>10</v>
      </c>
      <c r="B18" s="157"/>
      <c r="C18" s="158"/>
      <c r="D18" s="53">
        <f>D9-D17</f>
        <v>11929.739465217401</v>
      </c>
      <c r="F18" s="156" t="s">
        <v>10</v>
      </c>
      <c r="G18" s="157"/>
      <c r="H18" s="158"/>
      <c r="I18" s="53">
        <f>I9-I17</f>
        <v>6990.7760287720002</v>
      </c>
      <c r="K18" s="156" t="s">
        <v>10</v>
      </c>
      <c r="L18" s="157"/>
      <c r="M18" s="158"/>
      <c r="N18" s="53">
        <f>N9-N17</f>
        <v>20089.730193414784</v>
      </c>
      <c r="P18" s="156" t="s">
        <v>10</v>
      </c>
      <c r="Q18" s="157"/>
      <c r="R18" s="158"/>
      <c r="S18" s="53">
        <f>S9-S17</f>
        <v>28729.301453530265</v>
      </c>
      <c r="U18" s="156" t="s">
        <v>10</v>
      </c>
      <c r="V18" s="157"/>
      <c r="W18" s="158"/>
      <c r="X18" s="53">
        <f t="shared" si="0"/>
        <v>67739.547140934446</v>
      </c>
    </row>
    <row r="19" spans="1:24" ht="17.25" thickBot="1">
      <c r="A19" s="147" t="s">
        <v>20</v>
      </c>
      <c r="B19" s="148"/>
      <c r="C19" s="149"/>
      <c r="D19" s="50">
        <f>D18*0.3</f>
        <v>3578.9218395652201</v>
      </c>
      <c r="F19" s="147" t="s">
        <v>20</v>
      </c>
      <c r="G19" s="148"/>
      <c r="H19" s="149"/>
      <c r="I19" s="50">
        <f>I18*0.3</f>
        <v>2097.2328086316002</v>
      </c>
      <c r="K19" s="147" t="s">
        <v>20</v>
      </c>
      <c r="L19" s="148"/>
      <c r="M19" s="149"/>
      <c r="N19" s="50">
        <f>N18*0.3</f>
        <v>6026.9190580244349</v>
      </c>
      <c r="P19" s="147" t="s">
        <v>20</v>
      </c>
      <c r="Q19" s="148"/>
      <c r="R19" s="149"/>
      <c r="S19" s="50">
        <f>S18*0.3</f>
        <v>8618.7904360590783</v>
      </c>
      <c r="U19" s="147" t="s">
        <v>20</v>
      </c>
      <c r="V19" s="148"/>
      <c r="W19" s="149"/>
      <c r="X19" s="50">
        <f t="shared" si="0"/>
        <v>20321.864142280334</v>
      </c>
    </row>
    <row r="20" spans="1:24" ht="17.25" thickBot="1">
      <c r="A20" s="159" t="s">
        <v>21</v>
      </c>
      <c r="B20" s="160"/>
      <c r="C20" s="161"/>
      <c r="D20" s="54">
        <f>D18-D19</f>
        <v>8350.8176256521801</v>
      </c>
      <c r="F20" s="159" t="s">
        <v>21</v>
      </c>
      <c r="G20" s="160"/>
      <c r="H20" s="161"/>
      <c r="I20" s="54">
        <f>I18-I19</f>
        <v>4893.5432201404001</v>
      </c>
      <c r="K20" s="159" t="s">
        <v>21</v>
      </c>
      <c r="L20" s="160"/>
      <c r="M20" s="161"/>
      <c r="N20" s="54">
        <f>N18-N19</f>
        <v>14062.811135390348</v>
      </c>
      <c r="P20" s="159" t="s">
        <v>21</v>
      </c>
      <c r="Q20" s="160"/>
      <c r="R20" s="161"/>
      <c r="S20" s="54">
        <f>S18-S19</f>
        <v>20110.511017471188</v>
      </c>
      <c r="U20" s="159" t="s">
        <v>21</v>
      </c>
      <c r="V20" s="160"/>
      <c r="W20" s="161"/>
      <c r="X20" s="54">
        <f t="shared" si="0"/>
        <v>47417.682998654127</v>
      </c>
    </row>
    <row r="21" spans="1:2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/>
      <c r="P21" s="147" t="s">
        <v>11</v>
      </c>
      <c r="Q21" s="148"/>
      <c r="R21" s="149"/>
      <c r="S21" s="50"/>
      <c r="U21" s="147" t="s">
        <v>11</v>
      </c>
      <c r="V21" s="148"/>
      <c r="W21" s="149"/>
      <c r="X21" s="50">
        <f t="shared" si="0"/>
        <v>0</v>
      </c>
    </row>
    <row r="22" spans="1:24" ht="17.25" thickBot="1">
      <c r="A22" s="150" t="s">
        <v>12</v>
      </c>
      <c r="B22" s="151"/>
      <c r="C22" s="152"/>
      <c r="D22" s="51">
        <f>D20-D21</f>
        <v>8350.8176256521801</v>
      </c>
      <c r="F22" s="150" t="s">
        <v>12</v>
      </c>
      <c r="G22" s="151"/>
      <c r="H22" s="152"/>
      <c r="I22" s="51">
        <f>I20-I21</f>
        <v>4893.5432201404001</v>
      </c>
      <c r="K22" s="150" t="s">
        <v>12</v>
      </c>
      <c r="L22" s="151"/>
      <c r="M22" s="152"/>
      <c r="N22" s="51">
        <f>N20-N21</f>
        <v>14062.811135390348</v>
      </c>
      <c r="P22" s="150" t="s">
        <v>12</v>
      </c>
      <c r="Q22" s="151"/>
      <c r="R22" s="152"/>
      <c r="S22" s="51">
        <f>S20-S21</f>
        <v>20110.511017471188</v>
      </c>
      <c r="U22" s="150" t="s">
        <v>12</v>
      </c>
      <c r="V22" s="151"/>
      <c r="W22" s="152"/>
      <c r="X22" s="51">
        <f t="shared" si="0"/>
        <v>47417.682998654127</v>
      </c>
    </row>
    <row r="23" spans="1:24" ht="17.25" thickBot="1">
      <c r="A23" s="150" t="s">
        <v>299</v>
      </c>
      <c r="B23" s="151" t="s">
        <v>299</v>
      </c>
      <c r="C23" s="152"/>
      <c r="D23" s="51">
        <v>10253</v>
      </c>
      <c r="F23" s="150" t="s">
        <v>299</v>
      </c>
      <c r="G23" s="151" t="s">
        <v>299</v>
      </c>
      <c r="H23" s="152"/>
      <c r="I23" s="51">
        <v>15302</v>
      </c>
      <c r="K23" s="150" t="s">
        <v>299</v>
      </c>
      <c r="L23" s="151" t="s">
        <v>299</v>
      </c>
      <c r="M23" s="152"/>
      <c r="N23" s="51">
        <v>905</v>
      </c>
      <c r="P23" s="150" t="s">
        <v>299</v>
      </c>
      <c r="Q23" s="151" t="s">
        <v>299</v>
      </c>
      <c r="R23" s="152"/>
      <c r="S23" s="51">
        <v>28688</v>
      </c>
      <c r="U23" s="150" t="s">
        <v>299</v>
      </c>
      <c r="V23" s="151" t="s">
        <v>299</v>
      </c>
      <c r="W23" s="152"/>
      <c r="X23" s="51">
        <f t="shared" si="0"/>
        <v>55148</v>
      </c>
    </row>
    <row r="24" spans="1:24" ht="17.25" thickBot="1">
      <c r="A24" s="150" t="s">
        <v>300</v>
      </c>
      <c r="B24" s="151" t="s">
        <v>300</v>
      </c>
      <c r="C24" s="152"/>
      <c r="D24" s="51">
        <f>SUM(D22:D23)</f>
        <v>18603.81762565218</v>
      </c>
      <c r="F24" s="150" t="s">
        <v>300</v>
      </c>
      <c r="G24" s="151" t="s">
        <v>300</v>
      </c>
      <c r="H24" s="152"/>
      <c r="I24" s="51">
        <f>SUM(I22:I23)</f>
        <v>20195.5432201404</v>
      </c>
      <c r="K24" s="150" t="s">
        <v>300</v>
      </c>
      <c r="L24" s="151" t="s">
        <v>300</v>
      </c>
      <c r="M24" s="152"/>
      <c r="N24" s="51">
        <f>SUM(N22:N23)</f>
        <v>14967.811135390348</v>
      </c>
      <c r="P24" s="150" t="s">
        <v>300</v>
      </c>
      <c r="Q24" s="151" t="s">
        <v>300</v>
      </c>
      <c r="R24" s="152"/>
      <c r="S24" s="51">
        <f>SUM(S22:S23)</f>
        <v>48798.511017471188</v>
      </c>
      <c r="U24" s="150" t="s">
        <v>300</v>
      </c>
      <c r="V24" s="151" t="s">
        <v>300</v>
      </c>
      <c r="W24" s="152"/>
      <c r="X24" s="51">
        <f>S24+N24+I24+D24</f>
        <v>102565.68299865413</v>
      </c>
    </row>
    <row r="25" spans="1:24" ht="16.5">
      <c r="A25" s="12" t="s">
        <v>24</v>
      </c>
      <c r="B25" s="4"/>
      <c r="C25" s="4"/>
      <c r="D25" s="5"/>
      <c r="F25" s="12" t="s">
        <v>24</v>
      </c>
      <c r="G25" s="4"/>
      <c r="H25" s="4"/>
      <c r="I25" s="5"/>
    </row>
    <row r="26" spans="1:24">
      <c r="A26" s="15" t="s">
        <v>13</v>
      </c>
      <c r="B26" s="15" t="s">
        <v>29</v>
      </c>
      <c r="C26" s="15" t="s">
        <v>15</v>
      </c>
      <c r="D26" s="16" t="s">
        <v>7</v>
      </c>
      <c r="F26" s="15" t="s">
        <v>13</v>
      </c>
      <c r="G26" s="15" t="s">
        <v>29</v>
      </c>
      <c r="H26" s="15" t="s">
        <v>149</v>
      </c>
      <c r="I26" s="16" t="s">
        <v>7</v>
      </c>
    </row>
    <row r="27" spans="1:24" ht="24">
      <c r="A27" s="24" t="s">
        <v>148</v>
      </c>
      <c r="B27" s="100">
        <v>2022</v>
      </c>
      <c r="C27" s="26">
        <v>401014401054047</v>
      </c>
      <c r="D27" s="84">
        <v>12390.64</v>
      </c>
      <c r="F27" s="24" t="s">
        <v>276</v>
      </c>
      <c r="G27" s="25">
        <v>45495</v>
      </c>
      <c r="H27" s="26">
        <v>401014602263194</v>
      </c>
      <c r="I27" s="84">
        <v>12160.47</v>
      </c>
    </row>
    <row r="28" spans="1:24" ht="24">
      <c r="A28" s="24" t="s">
        <v>266</v>
      </c>
      <c r="B28" s="25">
        <v>45354</v>
      </c>
      <c r="C28" s="26">
        <v>401014501960123</v>
      </c>
      <c r="D28" s="84">
        <v>8580.58</v>
      </c>
    </row>
    <row r="29" spans="1:24" ht="16.5">
      <c r="A29" s="182" t="s">
        <v>285</v>
      </c>
      <c r="B29" s="183"/>
      <c r="C29" s="184"/>
      <c r="D29" s="84">
        <f>SUM(D27:D28)</f>
        <v>20971.22</v>
      </c>
    </row>
  </sheetData>
  <mergeCells count="126">
    <mergeCell ref="A29:C29"/>
    <mergeCell ref="U19:W19"/>
    <mergeCell ref="U20:W20"/>
    <mergeCell ref="U21:W21"/>
    <mergeCell ref="U22:W22"/>
    <mergeCell ref="U15:W15"/>
    <mergeCell ref="U14:W14"/>
    <mergeCell ref="U16:W16"/>
    <mergeCell ref="U17:W17"/>
    <mergeCell ref="U18:W18"/>
    <mergeCell ref="P17:R17"/>
    <mergeCell ref="P18:R18"/>
    <mergeCell ref="P19:R19"/>
    <mergeCell ref="P20:R20"/>
    <mergeCell ref="P21:R21"/>
    <mergeCell ref="P22:R22"/>
    <mergeCell ref="K20:M20"/>
    <mergeCell ref="K21:M21"/>
    <mergeCell ref="K22:M22"/>
    <mergeCell ref="A20:C20"/>
    <mergeCell ref="A21:C21"/>
    <mergeCell ref="A22:C22"/>
    <mergeCell ref="A17:C17"/>
    <mergeCell ref="P15:R15"/>
    <mergeCell ref="U9:W9"/>
    <mergeCell ref="U10:W10"/>
    <mergeCell ref="U11:W11"/>
    <mergeCell ref="U12:W12"/>
    <mergeCell ref="U13:W13"/>
    <mergeCell ref="U1:X1"/>
    <mergeCell ref="U2:V2"/>
    <mergeCell ref="W2:X2"/>
    <mergeCell ref="U3:V3"/>
    <mergeCell ref="W3:X3"/>
    <mergeCell ref="U5:W5"/>
    <mergeCell ref="U6:W6"/>
    <mergeCell ref="U7:W7"/>
    <mergeCell ref="U8:W8"/>
    <mergeCell ref="P16:R16"/>
    <mergeCell ref="P6:R6"/>
    <mergeCell ref="P7:R7"/>
    <mergeCell ref="P9:R9"/>
    <mergeCell ref="P10:R10"/>
    <mergeCell ref="P11:R11"/>
    <mergeCell ref="P12:R12"/>
    <mergeCell ref="P8:R8"/>
    <mergeCell ref="K9:M9"/>
    <mergeCell ref="K10:M10"/>
    <mergeCell ref="K11:M11"/>
    <mergeCell ref="K12:M12"/>
    <mergeCell ref="F8:H8"/>
    <mergeCell ref="K1:N1"/>
    <mergeCell ref="K2:L2"/>
    <mergeCell ref="M2:N2"/>
    <mergeCell ref="P13:R13"/>
    <mergeCell ref="P14:R14"/>
    <mergeCell ref="A1:D1"/>
    <mergeCell ref="A2:B2"/>
    <mergeCell ref="C2:D2"/>
    <mergeCell ref="A8:C8"/>
    <mergeCell ref="K3:L3"/>
    <mergeCell ref="M3:N3"/>
    <mergeCell ref="K5:M5"/>
    <mergeCell ref="K8:M8"/>
    <mergeCell ref="K17:M17"/>
    <mergeCell ref="K18:M18"/>
    <mergeCell ref="K13:M13"/>
    <mergeCell ref="A3:B3"/>
    <mergeCell ref="C3:D3"/>
    <mergeCell ref="A5:C5"/>
    <mergeCell ref="A6:C6"/>
    <mergeCell ref="A7:C7"/>
    <mergeCell ref="A9:C9"/>
    <mergeCell ref="A10:C10"/>
    <mergeCell ref="A11:C11"/>
    <mergeCell ref="A12:C12"/>
    <mergeCell ref="F17:H17"/>
    <mergeCell ref="F18:H18"/>
    <mergeCell ref="F13:H13"/>
    <mergeCell ref="F14:H14"/>
    <mergeCell ref="F15:H15"/>
    <mergeCell ref="F16:H16"/>
    <mergeCell ref="F6:H6"/>
    <mergeCell ref="F7:H7"/>
    <mergeCell ref="F9:H9"/>
    <mergeCell ref="F10:H10"/>
    <mergeCell ref="F11:H11"/>
    <mergeCell ref="F12:H12"/>
    <mergeCell ref="A23:C23"/>
    <mergeCell ref="A24:C24"/>
    <mergeCell ref="F23:H23"/>
    <mergeCell ref="F24:H24"/>
    <mergeCell ref="A18:C18"/>
    <mergeCell ref="A19:C19"/>
    <mergeCell ref="A13:C13"/>
    <mergeCell ref="A14:C14"/>
    <mergeCell ref="A15:C15"/>
    <mergeCell ref="A16:C16"/>
    <mergeCell ref="F19:H19"/>
    <mergeCell ref="F20:H20"/>
    <mergeCell ref="F21:H21"/>
    <mergeCell ref="F22:H22"/>
    <mergeCell ref="K23:M23"/>
    <mergeCell ref="K24:M24"/>
    <mergeCell ref="P23:R23"/>
    <mergeCell ref="P24:R24"/>
    <mergeCell ref="U23:W23"/>
    <mergeCell ref="U24:W24"/>
    <mergeCell ref="F1:I1"/>
    <mergeCell ref="F2:G2"/>
    <mergeCell ref="H2:I2"/>
    <mergeCell ref="F3:G3"/>
    <mergeCell ref="H3:I3"/>
    <mergeCell ref="F5:H5"/>
    <mergeCell ref="P1:S1"/>
    <mergeCell ref="P2:Q2"/>
    <mergeCell ref="R2:S2"/>
    <mergeCell ref="P3:Q3"/>
    <mergeCell ref="R3:S3"/>
    <mergeCell ref="P5:R5"/>
    <mergeCell ref="K19:M19"/>
    <mergeCell ref="K14:M14"/>
    <mergeCell ref="K15:M15"/>
    <mergeCell ref="K16:M16"/>
    <mergeCell ref="K6:M6"/>
    <mergeCell ref="K7:M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9955-966D-4A3F-8FA0-E638CDADD555}">
  <sheetPr>
    <tabColor rgb="FF66FFFF"/>
  </sheetPr>
  <dimension ref="A1:S29"/>
  <sheetViews>
    <sheetView rightToLeft="1" topLeftCell="D1" workbookViewId="0">
      <selection activeCell="S11" sqref="S11:S16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" customWidth="1"/>
    <col min="11" max="11" width="18" customWidth="1"/>
    <col min="12" max="12" width="12.625" customWidth="1"/>
    <col min="13" max="13" width="16.625" customWidth="1"/>
    <col min="14" max="14" width="13.375" customWidth="1"/>
    <col min="15" max="15" width="0.625" style="65" customWidth="1"/>
    <col min="16" max="16" width="18" customWidth="1"/>
    <col min="17" max="17" width="12.625" customWidth="1"/>
    <col min="18" max="18" width="13.125" customWidth="1"/>
    <col min="19" max="19" width="21.375" customWidth="1"/>
  </cols>
  <sheetData>
    <row r="1" spans="1:19" ht="18" thickBot="1">
      <c r="A1" s="135" t="s">
        <v>150</v>
      </c>
      <c r="B1" s="135"/>
      <c r="C1" s="135"/>
      <c r="D1" s="135"/>
      <c r="F1" s="135" t="s">
        <v>150</v>
      </c>
      <c r="G1" s="135"/>
      <c r="H1" s="135"/>
      <c r="I1" s="135"/>
      <c r="K1" s="135" t="s">
        <v>150</v>
      </c>
      <c r="L1" s="135"/>
      <c r="M1" s="135"/>
      <c r="N1" s="135"/>
      <c r="P1" s="135" t="s">
        <v>150</v>
      </c>
      <c r="Q1" s="135"/>
      <c r="R1" s="135"/>
      <c r="S1" s="135"/>
    </row>
    <row r="2" spans="1:19" ht="18" thickBot="1">
      <c r="A2" s="136" t="s">
        <v>1</v>
      </c>
      <c r="B2" s="136"/>
      <c r="C2" s="137" t="s">
        <v>151</v>
      </c>
      <c r="D2" s="137"/>
      <c r="F2" s="136" t="s">
        <v>1</v>
      </c>
      <c r="G2" s="136"/>
      <c r="H2" s="137" t="s">
        <v>151</v>
      </c>
      <c r="I2" s="137"/>
      <c r="K2" s="136" t="s">
        <v>1</v>
      </c>
      <c r="L2" s="136"/>
      <c r="M2" s="137" t="s">
        <v>151</v>
      </c>
      <c r="N2" s="137"/>
      <c r="P2" s="136" t="s">
        <v>1</v>
      </c>
      <c r="Q2" s="136"/>
      <c r="R2" s="137"/>
      <c r="S2" s="137"/>
    </row>
    <row r="3" spans="1:19" ht="21" thickBot="1">
      <c r="A3" s="136" t="s">
        <v>2</v>
      </c>
      <c r="B3" s="136"/>
      <c r="C3" s="142" t="s">
        <v>152</v>
      </c>
      <c r="D3" s="143"/>
      <c r="F3" s="136" t="s">
        <v>2</v>
      </c>
      <c r="G3" s="136"/>
      <c r="H3" s="142" t="s">
        <v>153</v>
      </c>
      <c r="I3" s="143"/>
      <c r="K3" s="136" t="s">
        <v>2</v>
      </c>
      <c r="L3" s="136"/>
      <c r="M3" s="142" t="s">
        <v>154</v>
      </c>
      <c r="N3" s="143"/>
      <c r="P3" s="136" t="s">
        <v>2</v>
      </c>
      <c r="Q3" s="136"/>
      <c r="R3" s="185" t="str">
        <f>C3&amp;" - "&amp;H3&amp;"-"&amp;M3</f>
        <v>ر ا ل 7598 - ر ا ل 7597-ر ا ل 7596</v>
      </c>
      <c r="S3" s="186"/>
    </row>
    <row r="4" spans="1:19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  <c r="P4" s="4"/>
      <c r="Q4" s="4"/>
      <c r="R4" s="4"/>
      <c r="S4" s="5"/>
    </row>
    <row r="5" spans="1:19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  <c r="P5" s="144" t="s">
        <v>6</v>
      </c>
      <c r="Q5" s="145"/>
      <c r="R5" s="146"/>
      <c r="S5" s="50" t="s">
        <v>7</v>
      </c>
    </row>
    <row r="6" spans="1:19" ht="17.25" thickBot="1">
      <c r="A6" s="147" t="s">
        <v>294</v>
      </c>
      <c r="B6" s="148"/>
      <c r="C6" s="149"/>
      <c r="D6" s="50">
        <v>34001.64347826087</v>
      </c>
      <c r="F6" s="147" t="s">
        <v>294</v>
      </c>
      <c r="G6" s="148"/>
      <c r="H6" s="149"/>
      <c r="I6" s="50">
        <v>23146.0869565217</v>
      </c>
      <c r="K6" s="147" t="s">
        <v>294</v>
      </c>
      <c r="L6" s="148"/>
      <c r="M6" s="149"/>
      <c r="N6" s="50">
        <v>19693.043478260872</v>
      </c>
      <c r="P6" s="147" t="s">
        <v>294</v>
      </c>
      <c r="Q6" s="148"/>
      <c r="R6" s="149"/>
      <c r="S6" s="50">
        <f>N6+I6+D6</f>
        <v>76840.773913043435</v>
      </c>
    </row>
    <row r="7" spans="1:19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v>0</v>
      </c>
      <c r="P7" s="147" t="s">
        <v>295</v>
      </c>
      <c r="Q7" s="148"/>
      <c r="R7" s="149"/>
      <c r="S7" s="50">
        <f t="shared" ref="S7:S23" si="0">N7+I7+D7</f>
        <v>0</v>
      </c>
    </row>
    <row r="8" spans="1:19" ht="17.25" thickBot="1">
      <c r="A8" s="147" t="s">
        <v>296</v>
      </c>
      <c r="B8" s="148"/>
      <c r="C8" s="149"/>
      <c r="D8" s="50"/>
      <c r="F8" s="147" t="s">
        <v>296</v>
      </c>
      <c r="G8" s="148"/>
      <c r="H8" s="149"/>
      <c r="I8" s="50">
        <v>1240</v>
      </c>
      <c r="K8" s="147" t="s">
        <v>296</v>
      </c>
      <c r="L8" s="148"/>
      <c r="M8" s="149"/>
      <c r="N8" s="50">
        <v>0</v>
      </c>
      <c r="P8" s="147" t="s">
        <v>296</v>
      </c>
      <c r="Q8" s="148"/>
      <c r="R8" s="149"/>
      <c r="S8" s="50">
        <f t="shared" si="0"/>
        <v>1240</v>
      </c>
    </row>
    <row r="9" spans="1:19" ht="17.25" thickBot="1">
      <c r="A9" s="150" t="s">
        <v>9</v>
      </c>
      <c r="B9" s="151"/>
      <c r="C9" s="152"/>
      <c r="D9" s="51">
        <f>SUM(D6:D8)</f>
        <v>34001.64347826087</v>
      </c>
      <c r="F9" s="150" t="s">
        <v>9</v>
      </c>
      <c r="G9" s="151"/>
      <c r="H9" s="152"/>
      <c r="I9" s="51">
        <f>SUM(I6:I8)</f>
        <v>24386.0869565217</v>
      </c>
      <c r="K9" s="150" t="s">
        <v>9</v>
      </c>
      <c r="L9" s="151"/>
      <c r="M9" s="152"/>
      <c r="N9" s="51">
        <f>SUM(N6:N8)</f>
        <v>19693.043478260872</v>
      </c>
      <c r="P9" s="150" t="s">
        <v>9</v>
      </c>
      <c r="Q9" s="151"/>
      <c r="R9" s="152"/>
      <c r="S9" s="51">
        <f t="shared" si="0"/>
        <v>78080.773913043435</v>
      </c>
    </row>
    <row r="10" spans="1:19" ht="17.25" thickBot="1">
      <c r="A10" s="147" t="s">
        <v>39</v>
      </c>
      <c r="B10" s="148"/>
      <c r="C10" s="149"/>
      <c r="D10" s="50">
        <v>471.39</v>
      </c>
      <c r="F10" s="147" t="s">
        <v>39</v>
      </c>
      <c r="G10" s="148"/>
      <c r="H10" s="149"/>
      <c r="I10" s="50">
        <v>414.00009999999997</v>
      </c>
      <c r="K10" s="147" t="s">
        <v>39</v>
      </c>
      <c r="L10" s="148"/>
      <c r="M10" s="149"/>
      <c r="N10" s="50">
        <v>184</v>
      </c>
      <c r="P10" s="147" t="s">
        <v>39</v>
      </c>
      <c r="Q10" s="148"/>
      <c r="R10" s="149"/>
      <c r="S10" s="50">
        <f t="shared" si="0"/>
        <v>1069.3901000000001</v>
      </c>
    </row>
    <row r="11" spans="1:19" ht="17.25" thickBot="1">
      <c r="A11" s="147" t="s">
        <v>40</v>
      </c>
      <c r="B11" s="148"/>
      <c r="C11" s="149"/>
      <c r="D11" s="50">
        <v>100</v>
      </c>
      <c r="F11" s="147" t="s">
        <v>40</v>
      </c>
      <c r="G11" s="148"/>
      <c r="H11" s="149"/>
      <c r="I11" s="50">
        <v>133</v>
      </c>
      <c r="K11" s="147" t="s">
        <v>40</v>
      </c>
      <c r="L11" s="148"/>
      <c r="M11" s="149"/>
      <c r="N11" s="50">
        <v>100</v>
      </c>
      <c r="P11" s="147" t="s">
        <v>40</v>
      </c>
      <c r="Q11" s="148"/>
      <c r="R11" s="149"/>
      <c r="S11" s="50">
        <f t="shared" si="0"/>
        <v>333</v>
      </c>
    </row>
    <row r="12" spans="1:19" ht="17.25" thickBot="1">
      <c r="A12" s="147" t="s">
        <v>41</v>
      </c>
      <c r="B12" s="148"/>
      <c r="C12" s="149"/>
      <c r="D12" s="50">
        <v>49.160000000000004</v>
      </c>
      <c r="F12" s="147" t="s">
        <v>41</v>
      </c>
      <c r="G12" s="148"/>
      <c r="H12" s="149"/>
      <c r="I12" s="50">
        <v>42.585953896000007</v>
      </c>
      <c r="K12" s="147" t="s">
        <v>41</v>
      </c>
      <c r="L12" s="148"/>
      <c r="M12" s="149"/>
      <c r="N12" s="50">
        <v>25.272399999999998</v>
      </c>
      <c r="P12" s="147" t="s">
        <v>41</v>
      </c>
      <c r="Q12" s="148"/>
      <c r="R12" s="149"/>
      <c r="S12" s="50">
        <f t="shared" si="0"/>
        <v>117.01835389600001</v>
      </c>
    </row>
    <row r="13" spans="1:19" ht="17.25" thickBot="1">
      <c r="A13" s="147" t="s">
        <v>297</v>
      </c>
      <c r="B13" s="148"/>
      <c r="C13" s="149"/>
      <c r="D13" s="50">
        <v>1509.54</v>
      </c>
      <c r="F13" s="147" t="s">
        <v>297</v>
      </c>
      <c r="G13" s="148"/>
      <c r="H13" s="149"/>
      <c r="I13" s="50">
        <v>1445.8999999999999</v>
      </c>
      <c r="K13" s="147" t="s">
        <v>297</v>
      </c>
      <c r="L13" s="148"/>
      <c r="M13" s="149"/>
      <c r="N13" s="50">
        <v>677.17</v>
      </c>
      <c r="P13" s="147" t="s">
        <v>297</v>
      </c>
      <c r="Q13" s="148"/>
      <c r="R13" s="149"/>
      <c r="S13" s="50">
        <f t="shared" si="0"/>
        <v>3632.6099999999997</v>
      </c>
    </row>
    <row r="14" spans="1:19" ht="17.25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v>875.91</v>
      </c>
      <c r="P14" s="147" t="s">
        <v>43</v>
      </c>
      <c r="Q14" s="148"/>
      <c r="R14" s="149"/>
      <c r="S14" s="50">
        <f t="shared" si="0"/>
        <v>2627.73</v>
      </c>
    </row>
    <row r="15" spans="1:19" ht="17.25" thickBot="1">
      <c r="A15" s="147" t="s">
        <v>44</v>
      </c>
      <c r="B15" s="148"/>
      <c r="C15" s="149"/>
      <c r="D15" s="50">
        <v>266.08999999999997</v>
      </c>
      <c r="F15" s="147" t="s">
        <v>44</v>
      </c>
      <c r="G15" s="148"/>
      <c r="H15" s="149"/>
      <c r="I15" s="50">
        <v>658.04</v>
      </c>
      <c r="K15" s="147" t="s">
        <v>44</v>
      </c>
      <c r="L15" s="148"/>
      <c r="M15" s="149"/>
      <c r="N15" s="50">
        <v>316.08999999999997</v>
      </c>
      <c r="P15" s="147" t="s">
        <v>44</v>
      </c>
      <c r="Q15" s="148"/>
      <c r="R15" s="149"/>
      <c r="S15" s="50">
        <f t="shared" si="0"/>
        <v>1240.2199999999998</v>
      </c>
    </row>
    <row r="16" spans="1:19" ht="17.25" thickBot="1">
      <c r="A16" s="147" t="s">
        <v>298</v>
      </c>
      <c r="B16" s="148"/>
      <c r="C16" s="149"/>
      <c r="D16" s="50">
        <v>950</v>
      </c>
      <c r="F16" s="147" t="s">
        <v>298</v>
      </c>
      <c r="G16" s="148"/>
      <c r="H16" s="149"/>
      <c r="I16" s="50">
        <v>300</v>
      </c>
      <c r="K16" s="147" t="s">
        <v>298</v>
      </c>
      <c r="L16" s="148"/>
      <c r="M16" s="149"/>
      <c r="N16" s="50">
        <v>450</v>
      </c>
      <c r="P16" s="147" t="s">
        <v>298</v>
      </c>
      <c r="Q16" s="148"/>
      <c r="R16" s="149"/>
      <c r="S16" s="50">
        <f t="shared" si="0"/>
        <v>1700</v>
      </c>
    </row>
    <row r="17" spans="1:19" ht="17.25" thickBot="1">
      <c r="A17" s="153" t="s">
        <v>48</v>
      </c>
      <c r="B17" s="154"/>
      <c r="C17" s="155"/>
      <c r="D17" s="52">
        <f>SUM(D10:D16)</f>
        <v>4222.09</v>
      </c>
      <c r="F17" s="153" t="s">
        <v>48</v>
      </c>
      <c r="G17" s="154"/>
      <c r="H17" s="155"/>
      <c r="I17" s="52">
        <f>SUM(I10:I16)</f>
        <v>3869.4360538959995</v>
      </c>
      <c r="K17" s="153" t="s">
        <v>48</v>
      </c>
      <c r="L17" s="154"/>
      <c r="M17" s="155"/>
      <c r="N17" s="52">
        <f>SUM(N10:N16)</f>
        <v>2628.4423999999999</v>
      </c>
      <c r="P17" s="153" t="s">
        <v>48</v>
      </c>
      <c r="Q17" s="154"/>
      <c r="R17" s="155"/>
      <c r="S17" s="52">
        <f t="shared" si="0"/>
        <v>10719.968453895999</v>
      </c>
    </row>
    <row r="18" spans="1:19" ht="17.25" thickBot="1">
      <c r="A18" s="156" t="s">
        <v>10</v>
      </c>
      <c r="B18" s="157"/>
      <c r="C18" s="158"/>
      <c r="D18" s="53">
        <f>D9-D17</f>
        <v>29779.55347826087</v>
      </c>
      <c r="F18" s="156" t="s">
        <v>10</v>
      </c>
      <c r="G18" s="157"/>
      <c r="H18" s="158"/>
      <c r="I18" s="53">
        <f>I9-I17</f>
        <v>20516.650902625701</v>
      </c>
      <c r="K18" s="156" t="s">
        <v>10</v>
      </c>
      <c r="L18" s="157"/>
      <c r="M18" s="158"/>
      <c r="N18" s="53">
        <f>N9-N17</f>
        <v>17064.601078260872</v>
      </c>
      <c r="P18" s="156" t="s">
        <v>10</v>
      </c>
      <c r="Q18" s="157"/>
      <c r="R18" s="158"/>
      <c r="S18" s="53">
        <f t="shared" si="0"/>
        <v>67360.80545914745</v>
      </c>
    </row>
    <row r="19" spans="1:19" ht="17.25" thickBot="1">
      <c r="A19" s="147" t="s">
        <v>20</v>
      </c>
      <c r="B19" s="148"/>
      <c r="C19" s="149"/>
      <c r="D19" s="50">
        <f>D18*0.3</f>
        <v>8933.8660434782614</v>
      </c>
      <c r="F19" s="147" t="s">
        <v>20</v>
      </c>
      <c r="G19" s="148"/>
      <c r="H19" s="149"/>
      <c r="I19" s="50">
        <f>I18*0.3</f>
        <v>6154.9952707877101</v>
      </c>
      <c r="K19" s="147" t="s">
        <v>20</v>
      </c>
      <c r="L19" s="148"/>
      <c r="M19" s="149"/>
      <c r="N19" s="50">
        <f>N18*0.3</f>
        <v>5119.3803234782617</v>
      </c>
      <c r="P19" s="147" t="s">
        <v>20</v>
      </c>
      <c r="Q19" s="148"/>
      <c r="R19" s="149"/>
      <c r="S19" s="50">
        <f t="shared" si="0"/>
        <v>20208.241637744235</v>
      </c>
    </row>
    <row r="20" spans="1:19" ht="17.25" thickBot="1">
      <c r="A20" s="159" t="s">
        <v>21</v>
      </c>
      <c r="B20" s="160"/>
      <c r="C20" s="161"/>
      <c r="D20" s="54">
        <f>D18-D19</f>
        <v>20845.687434782609</v>
      </c>
      <c r="F20" s="159" t="s">
        <v>21</v>
      </c>
      <c r="G20" s="160"/>
      <c r="H20" s="161"/>
      <c r="I20" s="54">
        <f>I18-I19</f>
        <v>14361.655631837992</v>
      </c>
      <c r="K20" s="159" t="s">
        <v>21</v>
      </c>
      <c r="L20" s="160"/>
      <c r="M20" s="161"/>
      <c r="N20" s="54">
        <f>N18-N19</f>
        <v>11945.220754782611</v>
      </c>
      <c r="P20" s="159" t="s">
        <v>21</v>
      </c>
      <c r="Q20" s="160"/>
      <c r="R20" s="161"/>
      <c r="S20" s="54">
        <f t="shared" si="0"/>
        <v>47152.563821403208</v>
      </c>
    </row>
    <row r="21" spans="1:19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/>
      <c r="P21" s="147" t="s">
        <v>11</v>
      </c>
      <c r="Q21" s="148"/>
      <c r="R21" s="149"/>
      <c r="S21" s="50">
        <f t="shared" si="0"/>
        <v>0</v>
      </c>
    </row>
    <row r="22" spans="1:19" ht="17.25" thickBot="1">
      <c r="A22" s="150" t="s">
        <v>12</v>
      </c>
      <c r="B22" s="151"/>
      <c r="C22" s="152"/>
      <c r="D22" s="51">
        <f>D20-D21</f>
        <v>20845.687434782609</v>
      </c>
      <c r="F22" s="150" t="s">
        <v>12</v>
      </c>
      <c r="G22" s="151"/>
      <c r="H22" s="152"/>
      <c r="I22" s="51">
        <f>I20-I21</f>
        <v>14361.655631837992</v>
      </c>
      <c r="K22" s="150" t="s">
        <v>12</v>
      </c>
      <c r="L22" s="151"/>
      <c r="M22" s="152"/>
      <c r="N22" s="51">
        <f>N20-N21</f>
        <v>11945.220754782611</v>
      </c>
      <c r="P22" s="150" t="s">
        <v>12</v>
      </c>
      <c r="Q22" s="151"/>
      <c r="R22" s="152"/>
      <c r="S22" s="51">
        <f t="shared" si="0"/>
        <v>47152.563821403208</v>
      </c>
    </row>
    <row r="23" spans="1:19" ht="17.25" thickBot="1">
      <c r="A23" s="150" t="s">
        <v>299</v>
      </c>
      <c r="B23" s="151" t="s">
        <v>299</v>
      </c>
      <c r="C23" s="152"/>
      <c r="D23" s="51">
        <v>20119</v>
      </c>
      <c r="F23" s="150" t="s">
        <v>299</v>
      </c>
      <c r="G23" s="151" t="s">
        <v>299</v>
      </c>
      <c r="H23" s="152"/>
      <c r="I23" s="51">
        <v>15492</v>
      </c>
      <c r="K23" s="150" t="s">
        <v>299</v>
      </c>
      <c r="L23" s="151" t="s">
        <v>299</v>
      </c>
      <c r="M23" s="152"/>
      <c r="N23" s="51">
        <v>10423</v>
      </c>
      <c r="P23" s="150" t="s">
        <v>299</v>
      </c>
      <c r="Q23" s="151" t="s">
        <v>299</v>
      </c>
      <c r="R23" s="152"/>
      <c r="S23" s="51">
        <f t="shared" si="0"/>
        <v>46034</v>
      </c>
    </row>
    <row r="24" spans="1:19" ht="17.25" thickBot="1">
      <c r="A24" s="150" t="s">
        <v>300</v>
      </c>
      <c r="B24" s="151" t="s">
        <v>300</v>
      </c>
      <c r="C24" s="152"/>
      <c r="D24" s="51">
        <f>SUM(D22:D23)</f>
        <v>40964.687434782609</v>
      </c>
      <c r="F24" s="150" t="s">
        <v>300</v>
      </c>
      <c r="G24" s="151" t="s">
        <v>300</v>
      </c>
      <c r="H24" s="152"/>
      <c r="I24" s="51">
        <f>SUM(I22:I23)</f>
        <v>29853.655631837992</v>
      </c>
      <c r="K24" s="150" t="s">
        <v>300</v>
      </c>
      <c r="L24" s="151" t="s">
        <v>300</v>
      </c>
      <c r="M24" s="152"/>
      <c r="N24" s="51">
        <f>SUM(N22:N23)</f>
        <v>22368.220754782611</v>
      </c>
      <c r="P24" s="150" t="s">
        <v>300</v>
      </c>
      <c r="Q24" s="151" t="s">
        <v>300</v>
      </c>
      <c r="R24" s="152"/>
      <c r="S24" s="51">
        <f>N24+I24+D24</f>
        <v>93186.563821403208</v>
      </c>
    </row>
    <row r="25" spans="1:19" ht="16.5">
      <c r="F25" s="12" t="s">
        <v>24</v>
      </c>
      <c r="G25" s="4"/>
      <c r="H25" s="4"/>
      <c r="I25" s="5"/>
    </row>
    <row r="26" spans="1:19" ht="22.5" customHeight="1">
      <c r="F26" s="15" t="s">
        <v>13</v>
      </c>
      <c r="G26" s="15" t="s">
        <v>29</v>
      </c>
      <c r="H26" s="15" t="s">
        <v>25</v>
      </c>
      <c r="I26" s="16" t="s">
        <v>7</v>
      </c>
    </row>
    <row r="27" spans="1:19" ht="24">
      <c r="F27" s="24" t="s">
        <v>155</v>
      </c>
      <c r="G27" s="100">
        <v>2022</v>
      </c>
      <c r="H27" s="86" t="s">
        <v>34</v>
      </c>
      <c r="I27" s="85">
        <v>1999.67</v>
      </c>
    </row>
    <row r="28" spans="1:19" ht="16.5">
      <c r="F28" s="24" t="s">
        <v>156</v>
      </c>
      <c r="G28" s="25">
        <v>45024</v>
      </c>
      <c r="H28" s="26">
        <v>401014401324396</v>
      </c>
      <c r="I28" s="84">
        <v>16576.5</v>
      </c>
    </row>
    <row r="29" spans="1:19" ht="16.5">
      <c r="F29" s="182" t="s">
        <v>55</v>
      </c>
      <c r="G29" s="183"/>
      <c r="H29" s="184"/>
      <c r="I29" s="84">
        <f>SUM(I27:I28)</f>
        <v>18576.169999999998</v>
      </c>
    </row>
  </sheetData>
  <mergeCells count="101">
    <mergeCell ref="F29:H29"/>
    <mergeCell ref="P22:R2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K22:M22"/>
    <mergeCell ref="K13:M13"/>
    <mergeCell ref="K19:M19"/>
    <mergeCell ref="K20:M20"/>
    <mergeCell ref="K21:M21"/>
    <mergeCell ref="F22:H22"/>
    <mergeCell ref="F13:H13"/>
    <mergeCell ref="F14:H14"/>
    <mergeCell ref="F21:H21"/>
    <mergeCell ref="P10:R10"/>
    <mergeCell ref="P11:R11"/>
    <mergeCell ref="P8:R8"/>
    <mergeCell ref="K1:N1"/>
    <mergeCell ref="K2:L2"/>
    <mergeCell ref="M2:N2"/>
    <mergeCell ref="K3:L3"/>
    <mergeCell ref="M3:N3"/>
    <mergeCell ref="K5:M5"/>
    <mergeCell ref="K6:M6"/>
    <mergeCell ref="K7:M7"/>
    <mergeCell ref="P1:S1"/>
    <mergeCell ref="P2:Q2"/>
    <mergeCell ref="R2:S2"/>
    <mergeCell ref="P3:Q3"/>
    <mergeCell ref="R3:S3"/>
    <mergeCell ref="P5:R5"/>
    <mergeCell ref="P6:R6"/>
    <mergeCell ref="P7:R7"/>
    <mergeCell ref="P9:R9"/>
    <mergeCell ref="K9:M9"/>
    <mergeCell ref="K10:M10"/>
    <mergeCell ref="K8:M8"/>
    <mergeCell ref="K11:M11"/>
    <mergeCell ref="F10:H10"/>
    <mergeCell ref="F8:H8"/>
    <mergeCell ref="F15:H15"/>
    <mergeCell ref="F16:H16"/>
    <mergeCell ref="F17:H17"/>
    <mergeCell ref="F18:H18"/>
    <mergeCell ref="F19:H19"/>
    <mergeCell ref="F20:H20"/>
    <mergeCell ref="F12:H12"/>
    <mergeCell ref="F11:H11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A10:C10"/>
    <mergeCell ref="A11:C11"/>
    <mergeCell ref="A8:C8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23:C23"/>
    <mergeCell ref="A24:C24"/>
    <mergeCell ref="F23:H23"/>
    <mergeCell ref="F24:H24"/>
    <mergeCell ref="K23:M23"/>
    <mergeCell ref="K24:M24"/>
    <mergeCell ref="P23:R23"/>
    <mergeCell ref="P24:R24"/>
    <mergeCell ref="A12:C12"/>
    <mergeCell ref="K18:M18"/>
    <mergeCell ref="K12:M12"/>
    <mergeCell ref="K15:M15"/>
    <mergeCell ref="K14:M14"/>
    <mergeCell ref="K16:M16"/>
    <mergeCell ref="K17:M17"/>
    <mergeCell ref="P12:R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A89C-2145-4565-AE19-741B6986FE04}">
  <sheetPr>
    <tabColor rgb="FF66FFFF"/>
  </sheetPr>
  <dimension ref="A1:D24"/>
  <sheetViews>
    <sheetView rightToLeft="1" workbookViewId="0">
      <selection activeCell="D11" sqref="D11:D16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157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151</v>
      </c>
      <c r="D2" s="137"/>
    </row>
    <row r="3" spans="1:4" ht="21" thickBot="1">
      <c r="A3" s="136" t="s">
        <v>2</v>
      </c>
      <c r="B3" s="136"/>
      <c r="C3" s="142" t="s">
        <v>158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17975.652173913044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17975.652173913044</v>
      </c>
    </row>
    <row r="10" spans="1:4" ht="17.25" thickBot="1">
      <c r="A10" s="147" t="s">
        <v>39</v>
      </c>
      <c r="B10" s="148"/>
      <c r="C10" s="149"/>
      <c r="D10" s="50">
        <v>294</v>
      </c>
    </row>
    <row r="11" spans="1:4" ht="17.25" thickBot="1">
      <c r="A11" s="147" t="s">
        <v>40</v>
      </c>
      <c r="B11" s="148"/>
      <c r="C11" s="149"/>
      <c r="D11" s="50">
        <v>100</v>
      </c>
    </row>
    <row r="12" spans="1:4" ht="17.25" thickBot="1">
      <c r="A12" s="147" t="s">
        <v>41</v>
      </c>
      <c r="B12" s="148"/>
      <c r="C12" s="149"/>
      <c r="D12" s="50">
        <v>84.678439933999996</v>
      </c>
    </row>
    <row r="13" spans="1:4" ht="17.25" thickBot="1">
      <c r="A13" s="147" t="s">
        <v>297</v>
      </c>
      <c r="B13" s="148"/>
      <c r="C13" s="149"/>
      <c r="D13" s="50">
        <v>1267.7400000000002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607.83999999999992</v>
      </c>
    </row>
    <row r="16" spans="1:4" ht="17.25" thickBot="1">
      <c r="A16" s="147" t="s">
        <v>298</v>
      </c>
      <c r="B16" s="148"/>
      <c r="C16" s="149"/>
      <c r="D16" s="50">
        <v>300</v>
      </c>
    </row>
    <row r="17" spans="1:4" ht="17.25" thickBot="1">
      <c r="A17" s="153" t="s">
        <v>48</v>
      </c>
      <c r="B17" s="154"/>
      <c r="C17" s="155"/>
      <c r="D17" s="52">
        <f>SUM(D10:D16)</f>
        <v>3530.1684399340002</v>
      </c>
    </row>
    <row r="18" spans="1:4" ht="17.25" thickBot="1">
      <c r="A18" s="156" t="s">
        <v>10</v>
      </c>
      <c r="B18" s="157"/>
      <c r="C18" s="158"/>
      <c r="D18" s="53">
        <f>D9-D17</f>
        <v>14445.483733979043</v>
      </c>
    </row>
    <row r="19" spans="1:4" ht="17.25" thickBot="1">
      <c r="A19" s="147" t="s">
        <v>20</v>
      </c>
      <c r="B19" s="148"/>
      <c r="C19" s="149"/>
      <c r="D19" s="50">
        <f>D18*0.3</f>
        <v>4333.6451201937125</v>
      </c>
    </row>
    <row r="20" spans="1:4" ht="17.25" thickBot="1">
      <c r="A20" s="159" t="s">
        <v>21</v>
      </c>
      <c r="B20" s="160"/>
      <c r="C20" s="161"/>
      <c r="D20" s="54">
        <f>D18-D19</f>
        <v>10111.83861378533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10111.83861378533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10111.83861378533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C60C-0455-4DA6-BB8E-DF38E3248E84}">
  <sheetPr>
    <tabColor rgb="FF66FFFF"/>
  </sheetPr>
  <dimension ref="A1:D27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159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160</v>
      </c>
      <c r="D2" s="137"/>
    </row>
    <row r="3" spans="1:4" ht="21" thickBot="1">
      <c r="A3" s="136" t="s">
        <v>2</v>
      </c>
      <c r="B3" s="136"/>
      <c r="C3" s="142" t="s">
        <v>161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28027.686956521746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28027.686956521746</v>
      </c>
    </row>
    <row r="10" spans="1:4" ht="17.25" thickBot="1">
      <c r="A10" s="147" t="s">
        <v>39</v>
      </c>
      <c r="B10" s="148"/>
      <c r="C10" s="149"/>
      <c r="D10" s="50">
        <v>338.99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201.42956302199997</v>
      </c>
    </row>
    <row r="13" spans="1:4" ht="17.25" thickBot="1">
      <c r="A13" s="147" t="s">
        <v>297</v>
      </c>
      <c r="B13" s="148"/>
      <c r="C13" s="149"/>
      <c r="D13" s="50">
        <v>600.00250000000005</v>
      </c>
    </row>
    <row r="14" spans="1:4" ht="17.25" thickBot="1">
      <c r="A14" s="147" t="s">
        <v>43</v>
      </c>
      <c r="B14" s="148"/>
      <c r="C14" s="149"/>
      <c r="D14" s="50">
        <v>1094.982</v>
      </c>
    </row>
    <row r="15" spans="1:4" ht="17.25" thickBot="1">
      <c r="A15" s="147" t="s">
        <v>44</v>
      </c>
      <c r="B15" s="148"/>
      <c r="C15" s="149"/>
      <c r="D15" s="50">
        <v>951.51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3186.9140630219999</v>
      </c>
    </row>
    <row r="18" spans="1:4" ht="17.25" thickBot="1">
      <c r="A18" s="156" t="s">
        <v>10</v>
      </c>
      <c r="B18" s="157"/>
      <c r="C18" s="158"/>
      <c r="D18" s="53">
        <f>D9-D17</f>
        <v>24840.772893499747</v>
      </c>
    </row>
    <row r="19" spans="1:4" ht="17.25" thickBot="1">
      <c r="A19" s="147" t="s">
        <v>20</v>
      </c>
      <c r="B19" s="148"/>
      <c r="C19" s="149"/>
      <c r="D19" s="50">
        <f>D18*0.3</f>
        <v>7452.2318680499238</v>
      </c>
    </row>
    <row r="20" spans="1:4" ht="17.25" thickBot="1">
      <c r="A20" s="159" t="s">
        <v>21</v>
      </c>
      <c r="B20" s="160"/>
      <c r="C20" s="161"/>
      <c r="D20" s="54">
        <f>D18-D19</f>
        <v>17388.541025449824</v>
      </c>
    </row>
    <row r="21" spans="1:4" ht="17.25" thickBot="1">
      <c r="A21" s="147" t="s">
        <v>11</v>
      </c>
      <c r="B21" s="148"/>
      <c r="C21" s="149"/>
      <c r="D21" s="50"/>
    </row>
    <row r="22" spans="1:4" ht="17.25" thickBot="1">
      <c r="A22" s="150" t="s">
        <v>12</v>
      </c>
      <c r="B22" s="151"/>
      <c r="C22" s="152"/>
      <c r="D22" s="51">
        <f>D20-D21</f>
        <v>17388.541025449824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17388.541025449824</v>
      </c>
    </row>
    <row r="25" spans="1:4" ht="16.5">
      <c r="A25" s="12" t="s">
        <v>24</v>
      </c>
      <c r="B25" s="4"/>
      <c r="C25" s="4"/>
      <c r="D25" s="5"/>
    </row>
    <row r="26" spans="1:4" ht="21" customHeight="1">
      <c r="A26" s="15" t="s">
        <v>13</v>
      </c>
      <c r="B26" s="15" t="s">
        <v>14</v>
      </c>
      <c r="C26" s="15" t="s">
        <v>15</v>
      </c>
      <c r="D26" s="16" t="s">
        <v>16</v>
      </c>
    </row>
    <row r="27" spans="1:4" ht="22.5" customHeight="1">
      <c r="A27" s="24" t="s">
        <v>281</v>
      </c>
      <c r="B27" s="25">
        <v>45608</v>
      </c>
      <c r="C27" s="26">
        <v>401014602587966</v>
      </c>
      <c r="D27" s="114">
        <v>12803.3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D87A-1F33-4384-9F74-97401431D4AF}">
  <sheetPr>
    <tabColor rgb="FF66FFFF"/>
  </sheetPr>
  <dimension ref="A1:E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162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31</v>
      </c>
      <c r="D2" s="137"/>
    </row>
    <row r="3" spans="1:4" ht="21" thickBot="1">
      <c r="A3" s="136" t="s">
        <v>2</v>
      </c>
      <c r="B3" s="136"/>
      <c r="C3" s="142" t="s">
        <v>163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28113.843478260875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28113.843478260875</v>
      </c>
    </row>
    <row r="10" spans="1:4" ht="17.25" thickBot="1">
      <c r="A10" s="147" t="s">
        <v>39</v>
      </c>
      <c r="B10" s="148"/>
      <c r="C10" s="149"/>
      <c r="D10" s="50">
        <v>201.39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200.68553534</v>
      </c>
    </row>
    <row r="13" spans="1:4" ht="17.25" thickBot="1">
      <c r="A13" s="147" t="s">
        <v>297</v>
      </c>
      <c r="B13" s="148"/>
      <c r="C13" s="149"/>
      <c r="D13" s="50">
        <v>70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656.08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5" ht="17.25" thickBot="1">
      <c r="A17" s="153" t="s">
        <v>48</v>
      </c>
      <c r="B17" s="154"/>
      <c r="C17" s="155"/>
      <c r="D17" s="52">
        <f>SUM(D10:D16)</f>
        <v>2004.0695353400001</v>
      </c>
    </row>
    <row r="18" spans="1:5" ht="17.25" thickBot="1">
      <c r="A18" s="156" t="s">
        <v>10</v>
      </c>
      <c r="B18" s="157"/>
      <c r="C18" s="158"/>
      <c r="D18" s="53">
        <f>D9-D17</f>
        <v>26109.773942920874</v>
      </c>
    </row>
    <row r="19" spans="1:5" ht="17.25" thickBot="1">
      <c r="A19" s="147" t="s">
        <v>20</v>
      </c>
      <c r="B19" s="148"/>
      <c r="C19" s="149"/>
      <c r="D19" s="50">
        <f>D18*0.3</f>
        <v>7832.9321828762622</v>
      </c>
    </row>
    <row r="20" spans="1:5" ht="17.25" thickBot="1">
      <c r="A20" s="159" t="s">
        <v>21</v>
      </c>
      <c r="B20" s="160"/>
      <c r="C20" s="161"/>
      <c r="D20" s="54">
        <f>D18-D19</f>
        <v>18276.841760044612</v>
      </c>
    </row>
    <row r="21" spans="1:5" ht="17.25" thickBot="1">
      <c r="A21" s="147" t="s">
        <v>11</v>
      </c>
      <c r="B21" s="148"/>
      <c r="C21" s="149"/>
      <c r="D21" s="50">
        <v>6000</v>
      </c>
      <c r="E21" s="76"/>
    </row>
    <row r="22" spans="1:5" ht="17.25" thickBot="1">
      <c r="A22" s="150" t="s">
        <v>12</v>
      </c>
      <c r="B22" s="151"/>
      <c r="C22" s="152"/>
      <c r="D22" s="51">
        <f>D20-D21</f>
        <v>12276.841760044612</v>
      </c>
    </row>
    <row r="23" spans="1:5" ht="17.25" thickBot="1">
      <c r="A23" s="150" t="s">
        <v>299</v>
      </c>
      <c r="B23" s="151" t="s">
        <v>299</v>
      </c>
      <c r="C23" s="152"/>
      <c r="D23" s="51">
        <v>0</v>
      </c>
    </row>
    <row r="24" spans="1:5" ht="17.25" thickBot="1">
      <c r="A24" s="150" t="s">
        <v>300</v>
      </c>
      <c r="B24" s="151" t="s">
        <v>300</v>
      </c>
      <c r="C24" s="152"/>
      <c r="D24" s="51">
        <f>SUM(D22:D23)</f>
        <v>12276.841760044612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8ABF-0F90-4FE0-9223-87D2C144A46E}">
  <sheetPr>
    <tabColor rgb="FF66FFFF"/>
  </sheetPr>
  <dimension ref="A1:N24"/>
  <sheetViews>
    <sheetView rightToLeft="1" workbookViewId="0">
      <selection activeCell="F11" sqref="A6:H11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.37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125" customWidth="1"/>
    <col min="11" max="11" width="18" customWidth="1"/>
    <col min="12" max="12" width="12.625" customWidth="1"/>
    <col min="13" max="13" width="16.625" customWidth="1"/>
    <col min="14" max="14" width="13.375" customWidth="1"/>
  </cols>
  <sheetData>
    <row r="1" spans="1:14" ht="18" thickBot="1">
      <c r="A1" s="135" t="s">
        <v>167</v>
      </c>
      <c r="B1" s="135"/>
      <c r="C1" s="135"/>
      <c r="D1" s="135"/>
      <c r="F1" s="135" t="s">
        <v>167</v>
      </c>
      <c r="G1" s="135"/>
      <c r="H1" s="135"/>
      <c r="I1" s="135"/>
      <c r="K1" s="135" t="s">
        <v>167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165</v>
      </c>
      <c r="D2" s="137"/>
      <c r="F2" s="136" t="s">
        <v>1</v>
      </c>
      <c r="G2" s="136"/>
      <c r="H2" s="137" t="s">
        <v>242</v>
      </c>
      <c r="I2" s="137"/>
      <c r="K2" s="136" t="s">
        <v>1</v>
      </c>
      <c r="L2" s="136"/>
      <c r="M2" s="137"/>
      <c r="N2" s="137"/>
    </row>
    <row r="3" spans="1:14" ht="21" thickBot="1">
      <c r="A3" s="136" t="s">
        <v>2</v>
      </c>
      <c r="B3" s="136"/>
      <c r="C3" s="142" t="s">
        <v>168</v>
      </c>
      <c r="D3" s="143"/>
      <c r="F3" s="136" t="s">
        <v>2</v>
      </c>
      <c r="G3" s="136"/>
      <c r="H3" s="142" t="s">
        <v>243</v>
      </c>
      <c r="I3" s="143"/>
      <c r="K3" s="136" t="s">
        <v>2</v>
      </c>
      <c r="L3" s="136"/>
      <c r="M3" s="142" t="str">
        <f>C3&amp;" - "&amp;H3</f>
        <v>ر ر س 5490 - ر ك س 3571</v>
      </c>
      <c r="N3" s="143"/>
    </row>
    <row r="4" spans="1:14" ht="15" thickBot="1">
      <c r="A4" s="4"/>
      <c r="B4" s="4"/>
      <c r="C4" s="4"/>
      <c r="D4" s="5"/>
      <c r="F4" s="4"/>
      <c r="G4" s="4"/>
      <c r="H4" t="s">
        <v>244</v>
      </c>
      <c r="K4" s="4"/>
      <c r="L4" s="4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25738.26086956522</v>
      </c>
      <c r="F6" s="147" t="s">
        <v>294</v>
      </c>
      <c r="G6" s="148"/>
      <c r="H6" s="149"/>
      <c r="I6" s="50">
        <v>12815.982608695655</v>
      </c>
      <c r="K6" s="147" t="s">
        <v>294</v>
      </c>
      <c r="L6" s="148"/>
      <c r="M6" s="149"/>
      <c r="N6" s="50">
        <f>D6+I6</f>
        <v>38554.243478260876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f t="shared" ref="N7:N21" si="0">D7+I7</f>
        <v>0</v>
      </c>
    </row>
    <row r="8" spans="1:14" ht="17.25" thickBot="1">
      <c r="A8" s="147" t="s">
        <v>296</v>
      </c>
      <c r="B8" s="148"/>
      <c r="C8" s="149"/>
      <c r="D8" s="50"/>
      <c r="F8" s="147" t="s">
        <v>296</v>
      </c>
      <c r="G8" s="148"/>
      <c r="H8" s="149"/>
      <c r="I8" s="50"/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25738.26086956522</v>
      </c>
      <c r="F9" s="150" t="s">
        <v>9</v>
      </c>
      <c r="G9" s="151"/>
      <c r="H9" s="152"/>
      <c r="I9" s="51">
        <f>SUM(I6:I8)</f>
        <v>12815.982608695655</v>
      </c>
      <c r="K9" s="150" t="s">
        <v>9</v>
      </c>
      <c r="L9" s="151"/>
      <c r="M9" s="152"/>
      <c r="N9" s="51">
        <f>D9+I9</f>
        <v>38554.243478260876</v>
      </c>
    </row>
    <row r="10" spans="1:14" ht="17.25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86</v>
      </c>
      <c r="K10" s="147" t="s">
        <v>39</v>
      </c>
      <c r="L10" s="148"/>
      <c r="M10" s="149"/>
      <c r="N10" s="50">
        <f t="shared" si="0"/>
        <v>270</v>
      </c>
    </row>
    <row r="11" spans="1:14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f t="shared" si="0"/>
        <v>0</v>
      </c>
    </row>
    <row r="12" spans="1:14" ht="17.25" thickBot="1">
      <c r="A12" s="147" t="s">
        <v>41</v>
      </c>
      <c r="B12" s="148"/>
      <c r="C12" s="149"/>
      <c r="D12" s="50">
        <v>108.657631362</v>
      </c>
      <c r="F12" s="147" t="s">
        <v>41</v>
      </c>
      <c r="G12" s="148"/>
      <c r="H12" s="149"/>
      <c r="I12" s="50">
        <v>200.77000334200002</v>
      </c>
      <c r="K12" s="147" t="s">
        <v>41</v>
      </c>
      <c r="L12" s="148"/>
      <c r="M12" s="149"/>
      <c r="N12" s="50">
        <f t="shared" si="0"/>
        <v>309.42763470400001</v>
      </c>
    </row>
    <row r="13" spans="1:14" ht="17.25" thickBot="1">
      <c r="A13" s="147" t="s">
        <v>297</v>
      </c>
      <c r="B13" s="148"/>
      <c r="C13" s="149"/>
      <c r="D13" s="50">
        <v>602.06999999999994</v>
      </c>
      <c r="F13" s="147" t="s">
        <v>297</v>
      </c>
      <c r="G13" s="148"/>
      <c r="H13" s="149"/>
      <c r="I13" s="50">
        <v>726.09</v>
      </c>
      <c r="K13" s="147" t="s">
        <v>297</v>
      </c>
      <c r="L13" s="148"/>
      <c r="M13" s="149"/>
      <c r="N13" s="50">
        <f t="shared" si="0"/>
        <v>1328.1599999999999</v>
      </c>
    </row>
    <row r="14" spans="1:14" ht="17.25" thickBot="1">
      <c r="A14" s="147" t="s">
        <v>43</v>
      </c>
      <c r="B14" s="148"/>
      <c r="C14" s="149"/>
      <c r="D14" s="50">
        <v>875.91399999999999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f t="shared" si="0"/>
        <v>1751.8240000000001</v>
      </c>
    </row>
    <row r="15" spans="1:14" ht="17.25" thickBot="1">
      <c r="A15" s="147" t="s">
        <v>44</v>
      </c>
      <c r="B15" s="148"/>
      <c r="C15" s="149"/>
      <c r="D15" s="50">
        <v>469.14</v>
      </c>
      <c r="F15" s="147" t="s">
        <v>44</v>
      </c>
      <c r="G15" s="148"/>
      <c r="H15" s="149"/>
      <c r="I15" s="50">
        <v>240</v>
      </c>
      <c r="K15" s="147" t="s">
        <v>44</v>
      </c>
      <c r="L15" s="148"/>
      <c r="M15" s="149"/>
      <c r="N15" s="50">
        <f t="shared" si="0"/>
        <v>709.14</v>
      </c>
    </row>
    <row r="16" spans="1:14" ht="17.25" thickBot="1">
      <c r="A16" s="147" t="s">
        <v>298</v>
      </c>
      <c r="B16" s="148"/>
      <c r="C16" s="149"/>
      <c r="D16" s="50">
        <v>0</v>
      </c>
      <c r="F16" s="147" t="s">
        <v>298</v>
      </c>
      <c r="G16" s="148"/>
      <c r="H16" s="149"/>
      <c r="I16" s="50">
        <v>172.5</v>
      </c>
      <c r="K16" s="147" t="s">
        <v>298</v>
      </c>
      <c r="L16" s="148"/>
      <c r="M16" s="149"/>
      <c r="N16" s="50">
        <f t="shared" si="0"/>
        <v>172.5</v>
      </c>
    </row>
    <row r="17" spans="1:14" ht="17.25" thickBot="1">
      <c r="A17" s="153" t="s">
        <v>48</v>
      </c>
      <c r="B17" s="154"/>
      <c r="C17" s="155"/>
      <c r="D17" s="52">
        <f>SUM(D10:D16)</f>
        <v>2239.7816313620001</v>
      </c>
      <c r="F17" s="153" t="s">
        <v>48</v>
      </c>
      <c r="G17" s="154"/>
      <c r="H17" s="155"/>
      <c r="I17" s="52">
        <f>SUM(I10:I16)</f>
        <v>2301.2700033420001</v>
      </c>
      <c r="K17" s="153" t="s">
        <v>48</v>
      </c>
      <c r="L17" s="154"/>
      <c r="M17" s="155"/>
      <c r="N17" s="52">
        <f>D17+I17</f>
        <v>4541.0516347040002</v>
      </c>
    </row>
    <row r="18" spans="1:14" ht="17.25" thickBot="1">
      <c r="A18" s="156" t="s">
        <v>10</v>
      </c>
      <c r="B18" s="157"/>
      <c r="C18" s="158"/>
      <c r="D18" s="53">
        <f>D9-D17</f>
        <v>23498.479238203221</v>
      </c>
      <c r="F18" s="156" t="s">
        <v>10</v>
      </c>
      <c r="G18" s="157"/>
      <c r="H18" s="158"/>
      <c r="I18" s="53">
        <f>I9-I17</f>
        <v>10514.712605353654</v>
      </c>
      <c r="K18" s="156" t="s">
        <v>10</v>
      </c>
      <c r="L18" s="157"/>
      <c r="M18" s="158"/>
      <c r="N18" s="53">
        <f>D18+I18</f>
        <v>34013.191843556873</v>
      </c>
    </row>
    <row r="19" spans="1:14" ht="17.25" thickBot="1">
      <c r="A19" s="147" t="s">
        <v>20</v>
      </c>
      <c r="B19" s="148"/>
      <c r="C19" s="149"/>
      <c r="D19" s="50">
        <f>D18*0.3</f>
        <v>7049.5437714609661</v>
      </c>
      <c r="F19" s="147" t="s">
        <v>20</v>
      </c>
      <c r="G19" s="148"/>
      <c r="H19" s="149"/>
      <c r="I19" s="50">
        <f>I18*0.3</f>
        <v>3154.4137816060961</v>
      </c>
      <c r="K19" s="147" t="s">
        <v>20</v>
      </c>
      <c r="L19" s="148"/>
      <c r="M19" s="149"/>
      <c r="N19" s="50">
        <f t="shared" si="0"/>
        <v>10203.957553067063</v>
      </c>
    </row>
    <row r="20" spans="1:14" ht="17.25" thickBot="1">
      <c r="A20" s="159" t="s">
        <v>21</v>
      </c>
      <c r="B20" s="160"/>
      <c r="C20" s="161"/>
      <c r="D20" s="54">
        <f>D18-D19</f>
        <v>16448.935466742256</v>
      </c>
      <c r="F20" s="159" t="s">
        <v>21</v>
      </c>
      <c r="G20" s="160"/>
      <c r="H20" s="161"/>
      <c r="I20" s="54">
        <f>I18-I19</f>
        <v>7360.2988237475583</v>
      </c>
      <c r="K20" s="159" t="s">
        <v>21</v>
      </c>
      <c r="L20" s="160"/>
      <c r="M20" s="161"/>
      <c r="N20" s="54">
        <f>D20+I20</f>
        <v>23809.234290489814</v>
      </c>
    </row>
    <row r="21" spans="1:1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16448.935466742256</v>
      </c>
      <c r="F22" s="150" t="s">
        <v>12</v>
      </c>
      <c r="G22" s="151"/>
      <c r="H22" s="152"/>
      <c r="I22" s="51">
        <f>I20-I21</f>
        <v>7360.2988237475583</v>
      </c>
      <c r="K22" s="150" t="s">
        <v>12</v>
      </c>
      <c r="L22" s="151"/>
      <c r="M22" s="152"/>
      <c r="N22" s="51">
        <f>D22+I22</f>
        <v>23809.234290489814</v>
      </c>
    </row>
    <row r="23" spans="1:14" ht="17.25" thickBot="1">
      <c r="A23" s="150" t="s">
        <v>299</v>
      </c>
      <c r="B23" s="151" t="s">
        <v>299</v>
      </c>
      <c r="C23" s="152"/>
      <c r="D23" s="51">
        <v>9969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f>D23+I23</f>
        <v>9969</v>
      </c>
    </row>
    <row r="24" spans="1:14" ht="17.25" thickBot="1">
      <c r="A24" s="150" t="s">
        <v>300</v>
      </c>
      <c r="B24" s="151" t="s">
        <v>300</v>
      </c>
      <c r="C24" s="152"/>
      <c r="D24" s="51">
        <f>SUM(D22:D23)</f>
        <v>26417.935466742256</v>
      </c>
      <c r="F24" s="150" t="s">
        <v>300</v>
      </c>
      <c r="G24" s="151" t="s">
        <v>300</v>
      </c>
      <c r="H24" s="152"/>
      <c r="I24" s="51">
        <f>SUM(I22:I23)</f>
        <v>7360.2988237475583</v>
      </c>
      <c r="K24" s="150" t="s">
        <v>300</v>
      </c>
      <c r="L24" s="151" t="s">
        <v>300</v>
      </c>
      <c r="M24" s="152"/>
      <c r="N24" s="51">
        <f>D24+I24</f>
        <v>33778.234290489811</v>
      </c>
    </row>
  </sheetData>
  <mergeCells count="75"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F9:H9"/>
    <mergeCell ref="F10:H10"/>
    <mergeCell ref="F1:I1"/>
    <mergeCell ref="F2:G2"/>
    <mergeCell ref="H2:I2"/>
    <mergeCell ref="F3:G3"/>
    <mergeCell ref="F8:H8"/>
    <mergeCell ref="F19:H19"/>
    <mergeCell ref="F20:H20"/>
    <mergeCell ref="F21:H21"/>
    <mergeCell ref="F22:H22"/>
    <mergeCell ref="H3:I3"/>
    <mergeCell ref="F14:H14"/>
    <mergeCell ref="F15:H15"/>
    <mergeCell ref="F16:H16"/>
    <mergeCell ref="F17:H17"/>
    <mergeCell ref="F18:H18"/>
    <mergeCell ref="F11:H11"/>
    <mergeCell ref="F12:H12"/>
    <mergeCell ref="F13:H13"/>
    <mergeCell ref="F5:H5"/>
    <mergeCell ref="F6:H6"/>
    <mergeCell ref="F7:H7"/>
    <mergeCell ref="K1:N1"/>
    <mergeCell ref="K2:L2"/>
    <mergeCell ref="M2:N2"/>
    <mergeCell ref="K3:L3"/>
    <mergeCell ref="M3:N3"/>
    <mergeCell ref="K11:M11"/>
    <mergeCell ref="K12:M12"/>
    <mergeCell ref="K13:M13"/>
    <mergeCell ref="K5:M5"/>
    <mergeCell ref="K6:M6"/>
    <mergeCell ref="K7:M7"/>
    <mergeCell ref="K9:M9"/>
    <mergeCell ref="K10:M10"/>
    <mergeCell ref="K8:M8"/>
    <mergeCell ref="K19:M19"/>
    <mergeCell ref="K20:M20"/>
    <mergeCell ref="K21:M21"/>
    <mergeCell ref="K22:M22"/>
    <mergeCell ref="K14:M14"/>
    <mergeCell ref="K15:M15"/>
    <mergeCell ref="K16:M16"/>
    <mergeCell ref="K17:M17"/>
    <mergeCell ref="K18:M18"/>
    <mergeCell ref="A23:C23"/>
    <mergeCell ref="A24:C24"/>
    <mergeCell ref="F23:H23"/>
    <mergeCell ref="F24:H24"/>
    <mergeCell ref="K23:M23"/>
    <mergeCell ref="K24:M2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6935-D737-443D-B33C-CC521C614330}">
  <sheetPr>
    <tabColor rgb="FF66FFFF"/>
  </sheetPr>
  <dimension ref="A1:N27"/>
  <sheetViews>
    <sheetView rightToLeft="1" workbookViewId="0">
      <selection activeCell="N24" sqref="N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.12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125" customWidth="1"/>
    <col min="11" max="11" width="18" customWidth="1"/>
    <col min="12" max="12" width="12.625" customWidth="1"/>
    <col min="13" max="13" width="16.625" customWidth="1"/>
    <col min="14" max="14" width="13.375" customWidth="1"/>
  </cols>
  <sheetData>
    <row r="1" spans="1:14" ht="18" thickBot="1">
      <c r="A1" s="135" t="s">
        <v>169</v>
      </c>
      <c r="B1" s="135"/>
      <c r="C1" s="135"/>
      <c r="D1" s="135"/>
      <c r="F1" s="135" t="s">
        <v>169</v>
      </c>
      <c r="G1" s="135"/>
      <c r="H1" s="135"/>
      <c r="I1" s="135"/>
      <c r="K1" s="135" t="s">
        <v>169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165</v>
      </c>
      <c r="D2" s="137"/>
      <c r="F2" s="136" t="s">
        <v>1</v>
      </c>
      <c r="G2" s="136"/>
      <c r="H2" s="137" t="s">
        <v>249</v>
      </c>
      <c r="I2" s="137"/>
      <c r="K2" s="136" t="s">
        <v>1</v>
      </c>
      <c r="L2" s="136"/>
      <c r="M2" s="137"/>
      <c r="N2" s="137"/>
    </row>
    <row r="3" spans="1:14" ht="21" thickBot="1">
      <c r="A3" s="136" t="s">
        <v>2</v>
      </c>
      <c r="B3" s="136"/>
      <c r="C3" s="142" t="s">
        <v>170</v>
      </c>
      <c r="D3" s="143"/>
      <c r="F3" s="136" t="s">
        <v>2</v>
      </c>
      <c r="G3" s="136"/>
      <c r="H3" s="142" t="s">
        <v>251</v>
      </c>
      <c r="I3" s="143"/>
      <c r="K3" s="136" t="s">
        <v>2</v>
      </c>
      <c r="L3" s="136"/>
      <c r="M3" s="142" t="str">
        <f>H3&amp;" - "&amp;C3</f>
        <v>ر ك س 3494 - ر ر س5489</v>
      </c>
      <c r="N3" s="143"/>
    </row>
    <row r="4" spans="1:14" ht="15" thickBot="1">
      <c r="A4" s="4"/>
      <c r="B4" s="4"/>
      <c r="C4" s="4"/>
      <c r="D4" s="5"/>
      <c r="F4" s="4"/>
      <c r="G4" s="4"/>
      <c r="H4" s="4" t="s">
        <v>250</v>
      </c>
      <c r="I4" s="5"/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21994.773913043482</v>
      </c>
      <c r="F6" s="147" t="s">
        <v>294</v>
      </c>
      <c r="G6" s="148"/>
      <c r="H6" s="149"/>
      <c r="I6" s="50">
        <v>5482.8869565217392</v>
      </c>
      <c r="K6" s="147" t="s">
        <v>294</v>
      </c>
      <c r="L6" s="148"/>
      <c r="M6" s="149"/>
      <c r="N6" s="50">
        <f>D6+I6</f>
        <v>27477.660869565221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f t="shared" ref="N7:N24" si="0">D7+I7</f>
        <v>0</v>
      </c>
    </row>
    <row r="8" spans="1:14" ht="17.25" thickBot="1">
      <c r="A8" s="147" t="s">
        <v>296</v>
      </c>
      <c r="B8" s="148"/>
      <c r="C8" s="149"/>
      <c r="D8" s="50"/>
      <c r="F8" s="147" t="s">
        <v>296</v>
      </c>
      <c r="G8" s="148"/>
      <c r="H8" s="149"/>
      <c r="I8" s="50"/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21994.773913043482</v>
      </c>
      <c r="F9" s="150" t="s">
        <v>9</v>
      </c>
      <c r="G9" s="151"/>
      <c r="H9" s="152"/>
      <c r="I9" s="51">
        <f>SUM(I6:I8)</f>
        <v>5482.8869565217392</v>
      </c>
      <c r="K9" s="150" t="s">
        <v>9</v>
      </c>
      <c r="L9" s="151"/>
      <c r="M9" s="152"/>
      <c r="N9" s="51">
        <f t="shared" si="0"/>
        <v>27477.660869565221</v>
      </c>
    </row>
    <row r="10" spans="1:14" ht="17.25" thickBot="1">
      <c r="A10" s="147" t="s">
        <v>39</v>
      </c>
      <c r="B10" s="148"/>
      <c r="C10" s="149"/>
      <c r="D10" s="50">
        <v>184</v>
      </c>
      <c r="F10" s="147" t="s">
        <v>39</v>
      </c>
      <c r="G10" s="148"/>
      <c r="H10" s="149"/>
      <c r="I10" s="50">
        <v>396</v>
      </c>
      <c r="K10" s="147" t="s">
        <v>39</v>
      </c>
      <c r="L10" s="148"/>
      <c r="M10" s="149"/>
      <c r="N10" s="50">
        <f t="shared" si="0"/>
        <v>580</v>
      </c>
    </row>
    <row r="11" spans="1:14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f t="shared" si="0"/>
        <v>0</v>
      </c>
    </row>
    <row r="12" spans="1:14" ht="17.25" thickBot="1">
      <c r="A12" s="147" t="s">
        <v>41</v>
      </c>
      <c r="B12" s="148"/>
      <c r="C12" s="149"/>
      <c r="D12" s="50">
        <v>169.60969035900001</v>
      </c>
      <c r="F12" s="147" t="s">
        <v>41</v>
      </c>
      <c r="G12" s="148"/>
      <c r="H12" s="149"/>
      <c r="I12" s="50">
        <v>39.284368889999996</v>
      </c>
      <c r="K12" s="147" t="s">
        <v>41</v>
      </c>
      <c r="L12" s="148"/>
      <c r="M12" s="149"/>
      <c r="N12" s="50">
        <f t="shared" si="0"/>
        <v>208.89405924900001</v>
      </c>
    </row>
    <row r="13" spans="1:14" ht="17.25" thickBot="1">
      <c r="A13" s="147" t="s">
        <v>297</v>
      </c>
      <c r="B13" s="148"/>
      <c r="C13" s="149"/>
      <c r="D13" s="50">
        <v>434.78</v>
      </c>
      <c r="F13" s="147" t="s">
        <v>297</v>
      </c>
      <c r="G13" s="148"/>
      <c r="H13" s="149"/>
      <c r="I13" s="50">
        <v>200</v>
      </c>
      <c r="K13" s="147" t="s">
        <v>297</v>
      </c>
      <c r="L13" s="148"/>
      <c r="M13" s="149"/>
      <c r="N13" s="50">
        <f t="shared" si="0"/>
        <v>634.78</v>
      </c>
    </row>
    <row r="14" spans="1:14" ht="17.25" thickBot="1">
      <c r="A14" s="147" t="s">
        <v>43</v>
      </c>
      <c r="B14" s="148"/>
      <c r="C14" s="149"/>
      <c r="D14" s="50">
        <v>875.91399999999999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f t="shared" si="0"/>
        <v>1751.8240000000001</v>
      </c>
    </row>
    <row r="15" spans="1:14" ht="17.25" thickBot="1">
      <c r="A15" s="147" t="s">
        <v>44</v>
      </c>
      <c r="B15" s="148"/>
      <c r="C15" s="149"/>
      <c r="D15" s="50">
        <v>749.35000000000014</v>
      </c>
      <c r="F15" s="147" t="s">
        <v>44</v>
      </c>
      <c r="G15" s="148"/>
      <c r="H15" s="149"/>
      <c r="I15" s="50">
        <v>0</v>
      </c>
      <c r="K15" s="147" t="s">
        <v>44</v>
      </c>
      <c r="L15" s="148"/>
      <c r="M15" s="149"/>
      <c r="N15" s="50">
        <f t="shared" si="0"/>
        <v>749.35000000000014</v>
      </c>
    </row>
    <row r="16" spans="1:14" ht="17.25" thickBot="1">
      <c r="A16" s="147" t="s">
        <v>298</v>
      </c>
      <c r="B16" s="148"/>
      <c r="C16" s="149"/>
      <c r="D16" s="50">
        <v>0</v>
      </c>
      <c r="F16" s="147" t="s">
        <v>298</v>
      </c>
      <c r="G16" s="148"/>
      <c r="H16" s="149"/>
      <c r="I16" s="50">
        <v>0</v>
      </c>
      <c r="K16" s="147" t="s">
        <v>298</v>
      </c>
      <c r="L16" s="148"/>
      <c r="M16" s="149"/>
      <c r="N16" s="50">
        <f t="shared" si="0"/>
        <v>0</v>
      </c>
    </row>
    <row r="17" spans="1:14" ht="17.25" thickBot="1">
      <c r="A17" s="153" t="s">
        <v>48</v>
      </c>
      <c r="B17" s="154"/>
      <c r="C17" s="155"/>
      <c r="D17" s="52">
        <f>SUM(D10:D16)</f>
        <v>2413.6536903590004</v>
      </c>
      <c r="F17" s="153" t="s">
        <v>48</v>
      </c>
      <c r="G17" s="154"/>
      <c r="H17" s="155"/>
      <c r="I17" s="52">
        <f>SUM(I10:I16)</f>
        <v>1511.1943688900001</v>
      </c>
      <c r="K17" s="153" t="s">
        <v>48</v>
      </c>
      <c r="L17" s="154"/>
      <c r="M17" s="155"/>
      <c r="N17" s="52">
        <f t="shared" si="0"/>
        <v>3924.8480592490005</v>
      </c>
    </row>
    <row r="18" spans="1:14" ht="17.25" thickBot="1">
      <c r="A18" s="156" t="s">
        <v>10</v>
      </c>
      <c r="B18" s="157"/>
      <c r="C18" s="158"/>
      <c r="D18" s="53">
        <f>D9-D17</f>
        <v>19581.120222684483</v>
      </c>
      <c r="F18" s="156" t="s">
        <v>10</v>
      </c>
      <c r="G18" s="157"/>
      <c r="H18" s="158"/>
      <c r="I18" s="53">
        <f>I9-I17</f>
        <v>3971.6925876317391</v>
      </c>
      <c r="K18" s="156" t="s">
        <v>10</v>
      </c>
      <c r="L18" s="157"/>
      <c r="M18" s="158"/>
      <c r="N18" s="53">
        <f t="shared" si="0"/>
        <v>23552.812810316223</v>
      </c>
    </row>
    <row r="19" spans="1:14" ht="17.25" thickBot="1">
      <c r="A19" s="147" t="s">
        <v>20</v>
      </c>
      <c r="B19" s="148"/>
      <c r="C19" s="149"/>
      <c r="D19" s="50">
        <f>D18*0.3</f>
        <v>5874.3360668053447</v>
      </c>
      <c r="F19" s="147" t="s">
        <v>20</v>
      </c>
      <c r="G19" s="148"/>
      <c r="H19" s="149"/>
      <c r="I19" s="50">
        <f>I18*0.3</f>
        <v>1191.5077762895216</v>
      </c>
      <c r="K19" s="147" t="s">
        <v>20</v>
      </c>
      <c r="L19" s="148"/>
      <c r="M19" s="149"/>
      <c r="N19" s="50">
        <f t="shared" si="0"/>
        <v>7065.8438430948663</v>
      </c>
    </row>
    <row r="20" spans="1:14" ht="17.25" thickBot="1">
      <c r="A20" s="159" t="s">
        <v>21</v>
      </c>
      <c r="B20" s="160"/>
      <c r="C20" s="161"/>
      <c r="D20" s="54">
        <f>D18-D19</f>
        <v>13706.784155879139</v>
      </c>
      <c r="F20" s="159" t="s">
        <v>21</v>
      </c>
      <c r="G20" s="160"/>
      <c r="H20" s="161"/>
      <c r="I20" s="54">
        <f>I18-I19</f>
        <v>2780.1848113422175</v>
      </c>
      <c r="K20" s="159" t="s">
        <v>21</v>
      </c>
      <c r="L20" s="160"/>
      <c r="M20" s="161"/>
      <c r="N20" s="54">
        <f t="shared" si="0"/>
        <v>16486.968967221357</v>
      </c>
    </row>
    <row r="21" spans="1:1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13706.784155879139</v>
      </c>
      <c r="F22" s="150" t="s">
        <v>12</v>
      </c>
      <c r="G22" s="151"/>
      <c r="H22" s="152"/>
      <c r="I22" s="51">
        <f>I20-I21</f>
        <v>2780.1848113422175</v>
      </c>
      <c r="K22" s="150" t="s">
        <v>12</v>
      </c>
      <c r="L22" s="151"/>
      <c r="M22" s="152"/>
      <c r="N22" s="51">
        <f t="shared" si="0"/>
        <v>16486.968967221357</v>
      </c>
    </row>
    <row r="23" spans="1:14" ht="17.25" thickBot="1">
      <c r="A23" s="150" t="s">
        <v>299</v>
      </c>
      <c r="B23" s="151" t="s">
        <v>299</v>
      </c>
      <c r="C23" s="152"/>
      <c r="D23" s="51">
        <v>9457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f t="shared" si="0"/>
        <v>9457</v>
      </c>
    </row>
    <row r="24" spans="1:14" ht="17.25" thickBot="1">
      <c r="A24" s="150" t="s">
        <v>300</v>
      </c>
      <c r="B24" s="151" t="s">
        <v>300</v>
      </c>
      <c r="C24" s="152"/>
      <c r="D24" s="51">
        <f>SUM(D22:D23)</f>
        <v>23163.784155879141</v>
      </c>
      <c r="F24" s="150" t="s">
        <v>300</v>
      </c>
      <c r="G24" s="151" t="s">
        <v>300</v>
      </c>
      <c r="H24" s="152"/>
      <c r="I24" s="51">
        <f>SUM(I22:I23)</f>
        <v>2780.1848113422175</v>
      </c>
      <c r="K24" s="150" t="s">
        <v>300</v>
      </c>
      <c r="L24" s="151" t="s">
        <v>300</v>
      </c>
      <c r="M24" s="152"/>
      <c r="N24" s="51">
        <f t="shared" si="0"/>
        <v>25943.968967221357</v>
      </c>
    </row>
    <row r="25" spans="1:14" ht="24" customHeight="1">
      <c r="F25" s="12" t="s">
        <v>24</v>
      </c>
      <c r="G25" s="4"/>
      <c r="H25" s="4"/>
      <c r="I25" s="5"/>
    </row>
    <row r="26" spans="1:14">
      <c r="F26" s="15" t="s">
        <v>13</v>
      </c>
      <c r="G26" s="15" t="s">
        <v>14</v>
      </c>
      <c r="H26" s="15" t="s">
        <v>15</v>
      </c>
      <c r="I26" s="16" t="s">
        <v>16</v>
      </c>
    </row>
    <row r="27" spans="1:14" ht="24">
      <c r="F27" s="24" t="s">
        <v>279</v>
      </c>
      <c r="G27" s="25">
        <v>45563</v>
      </c>
      <c r="H27" s="26">
        <v>401014602450308</v>
      </c>
      <c r="I27" s="84">
        <v>3481.5</v>
      </c>
    </row>
  </sheetData>
  <mergeCells count="75">
    <mergeCell ref="K8:M8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1:C11"/>
    <mergeCell ref="F11:H11"/>
    <mergeCell ref="F12:H12"/>
    <mergeCell ref="F13:H13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8:C8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F10:H10"/>
    <mergeCell ref="F8:H8"/>
    <mergeCell ref="F22:H22"/>
    <mergeCell ref="K1:N1"/>
    <mergeCell ref="K2:L2"/>
    <mergeCell ref="M2:N2"/>
    <mergeCell ref="K3:L3"/>
    <mergeCell ref="M3:N3"/>
    <mergeCell ref="K5:M5"/>
    <mergeCell ref="K6:M6"/>
    <mergeCell ref="K7:M7"/>
    <mergeCell ref="K9:M9"/>
    <mergeCell ref="K10:M10"/>
    <mergeCell ref="K11:M11"/>
    <mergeCell ref="K12:M12"/>
    <mergeCell ref="K13:M13"/>
    <mergeCell ref="F15:H15"/>
    <mergeCell ref="F16:H16"/>
    <mergeCell ref="K14:M14"/>
    <mergeCell ref="K15:M15"/>
    <mergeCell ref="K21:M21"/>
    <mergeCell ref="F20:H20"/>
    <mergeCell ref="F21:H21"/>
    <mergeCell ref="F17:H17"/>
    <mergeCell ref="F18:H18"/>
    <mergeCell ref="F19:H19"/>
    <mergeCell ref="F14:H14"/>
    <mergeCell ref="K22:M22"/>
    <mergeCell ref="K16:M16"/>
    <mergeCell ref="K17:M17"/>
    <mergeCell ref="K18:M18"/>
    <mergeCell ref="K19:M19"/>
    <mergeCell ref="K20:M20"/>
    <mergeCell ref="A23:C23"/>
    <mergeCell ref="A24:C24"/>
    <mergeCell ref="F23:H23"/>
    <mergeCell ref="F24:H24"/>
    <mergeCell ref="K23:M23"/>
    <mergeCell ref="K24:M2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5C97-8B73-4828-A6E4-A856235DA072}">
  <sheetPr>
    <tabColor rgb="FF66FFFF"/>
  </sheetPr>
  <dimension ref="A1:D24"/>
  <sheetViews>
    <sheetView rightToLeft="1" workbookViewId="0">
      <selection activeCell="C2" sqref="C2:D2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171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165</v>
      </c>
      <c r="D2" s="137"/>
    </row>
    <row r="3" spans="1:4" ht="21" thickBot="1">
      <c r="A3" s="136" t="s">
        <v>2</v>
      </c>
      <c r="B3" s="136"/>
      <c r="C3" s="142" t="s">
        <v>172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22259.565217391308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22259.565217391308</v>
      </c>
    </row>
    <row r="10" spans="1:4" ht="17.25" thickBot="1">
      <c r="A10" s="147" t="s">
        <v>39</v>
      </c>
      <c r="B10" s="148"/>
      <c r="C10" s="149"/>
      <c r="D10" s="50">
        <v>384.00009999999997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159.366599022</v>
      </c>
    </row>
    <row r="13" spans="1:4" ht="17.25" thickBot="1">
      <c r="A13" s="147" t="s">
        <v>297</v>
      </c>
      <c r="B13" s="148"/>
      <c r="C13" s="149"/>
      <c r="D13" s="50">
        <v>0</v>
      </c>
    </row>
    <row r="14" spans="1:4" ht="17.25" thickBot="1">
      <c r="A14" s="147" t="s">
        <v>43</v>
      </c>
      <c r="B14" s="148"/>
      <c r="C14" s="149"/>
      <c r="D14" s="50">
        <v>875.91399999999999</v>
      </c>
    </row>
    <row r="15" spans="1:4" ht="17.25" thickBot="1">
      <c r="A15" s="147" t="s">
        <v>44</v>
      </c>
      <c r="B15" s="148"/>
      <c r="C15" s="149"/>
      <c r="D15" s="50">
        <v>673.47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2092.7506990219999</v>
      </c>
    </row>
    <row r="18" spans="1:4" ht="17.25" thickBot="1">
      <c r="A18" s="156" t="s">
        <v>10</v>
      </c>
      <c r="B18" s="157"/>
      <c r="C18" s="158"/>
      <c r="D18" s="53">
        <f>D9-D17</f>
        <v>20166.814518369309</v>
      </c>
    </row>
    <row r="19" spans="1:4" ht="17.25" thickBot="1">
      <c r="A19" s="147" t="s">
        <v>20</v>
      </c>
      <c r="B19" s="148"/>
      <c r="C19" s="149"/>
      <c r="D19" s="50">
        <f>D18*0.3</f>
        <v>6050.0443555107922</v>
      </c>
    </row>
    <row r="20" spans="1:4" ht="17.25" thickBot="1">
      <c r="A20" s="159" t="s">
        <v>21</v>
      </c>
      <c r="B20" s="160"/>
      <c r="C20" s="161"/>
      <c r="D20" s="54">
        <f>D18-D19</f>
        <v>14116.770162858516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14116.770162858516</v>
      </c>
    </row>
    <row r="23" spans="1:4" ht="17.25" thickBot="1">
      <c r="A23" s="150" t="s">
        <v>299</v>
      </c>
      <c r="B23" s="151" t="s">
        <v>299</v>
      </c>
      <c r="C23" s="152"/>
      <c r="D23" s="51">
        <v>13693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27809.770162858516</v>
      </c>
    </row>
  </sheetData>
  <mergeCells count="25"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23:C23"/>
    <mergeCell ref="A24:C24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D901-EB66-4605-B56E-42C53F0C89EE}">
  <sheetPr>
    <tabColor rgb="FF66FFFF"/>
  </sheetPr>
  <dimension ref="A1:N30"/>
  <sheetViews>
    <sheetView rightToLeft="1" topLeftCell="A13" workbookViewId="0">
      <selection activeCell="I13" sqref="I13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.125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0.875" customWidth="1"/>
    <col min="11" max="11" width="18" customWidth="1"/>
    <col min="12" max="12" width="12.625" customWidth="1"/>
    <col min="13" max="13" width="16.625" customWidth="1"/>
    <col min="14" max="14" width="13.375" customWidth="1"/>
  </cols>
  <sheetData>
    <row r="1" spans="1:14" ht="18" thickBot="1">
      <c r="A1" s="135" t="s">
        <v>173</v>
      </c>
      <c r="B1" s="135"/>
      <c r="C1" s="135"/>
      <c r="D1" s="135"/>
      <c r="F1" s="135" t="s">
        <v>173</v>
      </c>
      <c r="G1" s="135"/>
      <c r="H1" s="135"/>
      <c r="I1" s="135"/>
      <c r="K1" s="135" t="s">
        <v>173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174</v>
      </c>
      <c r="D2" s="137"/>
      <c r="F2" s="136" t="s">
        <v>1</v>
      </c>
      <c r="G2" s="136"/>
      <c r="H2" s="137" t="s">
        <v>178</v>
      </c>
      <c r="I2" s="137"/>
      <c r="K2" s="136" t="s">
        <v>1</v>
      </c>
      <c r="L2" s="136"/>
      <c r="M2" s="137" t="str">
        <f>H2&amp;" - "&amp;C2</f>
        <v xml:space="preserve">  كامري ابيض 2021 - سوناتا 2023</v>
      </c>
      <c r="N2" s="137"/>
    </row>
    <row r="3" spans="1:14" ht="21" thickBot="1">
      <c r="A3" s="136" t="s">
        <v>2</v>
      </c>
      <c r="B3" s="136"/>
      <c r="C3" s="142" t="s">
        <v>175</v>
      </c>
      <c r="D3" s="143"/>
      <c r="F3" s="136" t="s">
        <v>2</v>
      </c>
      <c r="G3" s="136"/>
      <c r="H3" s="142" t="s">
        <v>179</v>
      </c>
      <c r="I3" s="143"/>
      <c r="K3" s="136" t="s">
        <v>2</v>
      </c>
      <c r="L3" s="136"/>
      <c r="M3" s="142" t="str">
        <f>C3&amp;"-"&amp;H3</f>
        <v xml:space="preserve">ر ح ر 5459-2065 د ه و </v>
      </c>
      <c r="N3" s="143"/>
    </row>
    <row r="4" spans="1:14" ht="15" thickBot="1">
      <c r="A4" s="4"/>
      <c r="B4" s="4"/>
      <c r="C4" s="4"/>
      <c r="D4" s="5"/>
      <c r="F4" s="4"/>
      <c r="G4" s="4"/>
      <c r="H4" s="4"/>
      <c r="I4" s="5"/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20590.904347826086</v>
      </c>
      <c r="F6" s="147" t="s">
        <v>294</v>
      </c>
      <c r="G6" s="148"/>
      <c r="H6" s="149"/>
      <c r="I6" s="50">
        <v>39525.539130434787</v>
      </c>
      <c r="K6" s="147" t="s">
        <v>294</v>
      </c>
      <c r="L6" s="148"/>
      <c r="M6" s="149"/>
      <c r="N6" s="50">
        <f>D6+I6</f>
        <v>60116.443478260873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f t="shared" ref="N7:N24" si="0">D7+I7</f>
        <v>0</v>
      </c>
    </row>
    <row r="8" spans="1:14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20590.904347826086</v>
      </c>
      <c r="F9" s="150" t="s">
        <v>9</v>
      </c>
      <c r="G9" s="151"/>
      <c r="H9" s="152"/>
      <c r="I9" s="51">
        <f>SUM(I6:I8)</f>
        <v>39525.539130434787</v>
      </c>
      <c r="K9" s="150" t="s">
        <v>9</v>
      </c>
      <c r="L9" s="151"/>
      <c r="M9" s="152"/>
      <c r="N9" s="51">
        <f>D9+I9</f>
        <v>60116.443478260873</v>
      </c>
    </row>
    <row r="10" spans="1:14" ht="17.25" thickBot="1">
      <c r="A10" s="147" t="s">
        <v>39</v>
      </c>
      <c r="B10" s="148"/>
      <c r="C10" s="149"/>
      <c r="D10" s="50">
        <v>851.00009999999997</v>
      </c>
      <c r="F10" s="147" t="s">
        <v>39</v>
      </c>
      <c r="G10" s="148"/>
      <c r="H10" s="149"/>
      <c r="I10" s="50">
        <v>214</v>
      </c>
      <c r="K10" s="147" t="s">
        <v>39</v>
      </c>
      <c r="L10" s="148"/>
      <c r="M10" s="149"/>
      <c r="N10" s="50">
        <f t="shared" si="0"/>
        <v>1065.0001</v>
      </c>
    </row>
    <row r="11" spans="1:14" ht="17.25" thickBot="1">
      <c r="A11" s="147" t="s">
        <v>40</v>
      </c>
      <c r="B11" s="148"/>
      <c r="C11" s="149"/>
      <c r="D11" s="50">
        <v>100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f t="shared" si="0"/>
        <v>100</v>
      </c>
    </row>
    <row r="12" spans="1:14" ht="17.25" thickBot="1">
      <c r="A12" s="147" t="s">
        <v>41</v>
      </c>
      <c r="B12" s="148"/>
      <c r="C12" s="149"/>
      <c r="D12" s="50">
        <v>284.82469857999996</v>
      </c>
      <c r="F12" s="147" t="s">
        <v>41</v>
      </c>
      <c r="G12" s="148"/>
      <c r="H12" s="149"/>
      <c r="I12" s="50">
        <v>230.60119330000001</v>
      </c>
      <c r="K12" s="147" t="s">
        <v>41</v>
      </c>
      <c r="L12" s="148"/>
      <c r="M12" s="149"/>
      <c r="N12" s="50">
        <f t="shared" si="0"/>
        <v>515.42589187999999</v>
      </c>
    </row>
    <row r="13" spans="1:14" ht="17.25" thickBot="1">
      <c r="A13" s="147" t="s">
        <v>297</v>
      </c>
      <c r="B13" s="148"/>
      <c r="C13" s="149"/>
      <c r="D13" s="50">
        <v>998.04</v>
      </c>
      <c r="F13" s="147" t="s">
        <v>297</v>
      </c>
      <c r="G13" s="148"/>
      <c r="H13" s="149"/>
      <c r="I13" s="50">
        <v>1586.53</v>
      </c>
      <c r="K13" s="147" t="s">
        <v>297</v>
      </c>
      <c r="L13" s="148"/>
      <c r="M13" s="149"/>
      <c r="N13" s="50">
        <f t="shared" si="0"/>
        <v>2584.5699999999997</v>
      </c>
    </row>
    <row r="14" spans="1:14" ht="17.25" thickBot="1">
      <c r="A14" s="147" t="s">
        <v>43</v>
      </c>
      <c r="B14" s="148"/>
      <c r="C14" s="149"/>
      <c r="D14" s="50">
        <v>908.65600000000006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f t="shared" si="0"/>
        <v>1784.566</v>
      </c>
    </row>
    <row r="15" spans="1:14" ht="17.25" thickBot="1">
      <c r="A15" s="147" t="s">
        <v>44</v>
      </c>
      <c r="B15" s="148"/>
      <c r="C15" s="149"/>
      <c r="D15" s="50">
        <v>645.86</v>
      </c>
      <c r="F15" s="147" t="s">
        <v>44</v>
      </c>
      <c r="G15" s="148"/>
      <c r="H15" s="149"/>
      <c r="I15" s="50">
        <v>842.79</v>
      </c>
      <c r="K15" s="147" t="s">
        <v>44</v>
      </c>
      <c r="L15" s="148"/>
      <c r="M15" s="149"/>
      <c r="N15" s="50">
        <f t="shared" si="0"/>
        <v>1488.65</v>
      </c>
    </row>
    <row r="16" spans="1:14" ht="17.25" thickBot="1">
      <c r="A16" s="147" t="s">
        <v>298</v>
      </c>
      <c r="B16" s="148"/>
      <c r="C16" s="149"/>
      <c r="D16" s="50">
        <v>225</v>
      </c>
      <c r="F16" s="147" t="s">
        <v>298</v>
      </c>
      <c r="G16" s="148"/>
      <c r="H16" s="149"/>
      <c r="I16" s="50">
        <v>300</v>
      </c>
      <c r="K16" s="147" t="s">
        <v>298</v>
      </c>
      <c r="L16" s="148"/>
      <c r="M16" s="149"/>
      <c r="N16" s="50">
        <f t="shared" si="0"/>
        <v>525</v>
      </c>
    </row>
    <row r="17" spans="1:14" ht="17.25" thickBot="1">
      <c r="A17" s="153" t="s">
        <v>48</v>
      </c>
      <c r="B17" s="154"/>
      <c r="C17" s="155"/>
      <c r="D17" s="52">
        <f>SUM(D10:D16)</f>
        <v>4013.3807985799999</v>
      </c>
      <c r="F17" s="153" t="s">
        <v>48</v>
      </c>
      <c r="G17" s="154"/>
      <c r="H17" s="155"/>
      <c r="I17" s="52">
        <f>SUM(I10:I16)</f>
        <v>4049.8311933</v>
      </c>
      <c r="K17" s="153" t="s">
        <v>48</v>
      </c>
      <c r="L17" s="154"/>
      <c r="M17" s="155"/>
      <c r="N17" s="52">
        <f>D17+I17</f>
        <v>8063.2119918799999</v>
      </c>
    </row>
    <row r="18" spans="1:14" ht="17.25" thickBot="1">
      <c r="A18" s="156" t="s">
        <v>10</v>
      </c>
      <c r="B18" s="157"/>
      <c r="C18" s="158"/>
      <c r="D18" s="53">
        <f>D9-D17</f>
        <v>16577.523549246085</v>
      </c>
      <c r="F18" s="156" t="s">
        <v>10</v>
      </c>
      <c r="G18" s="157"/>
      <c r="H18" s="158"/>
      <c r="I18" s="53">
        <f>I9-I17</f>
        <v>35475.707937134786</v>
      </c>
      <c r="K18" s="156" t="s">
        <v>10</v>
      </c>
      <c r="L18" s="157"/>
      <c r="M18" s="158"/>
      <c r="N18" s="53">
        <f>D18+I18</f>
        <v>52053.231486380872</v>
      </c>
    </row>
    <row r="19" spans="1:14" ht="17.25" thickBot="1">
      <c r="A19" s="147" t="s">
        <v>20</v>
      </c>
      <c r="B19" s="148"/>
      <c r="C19" s="149"/>
      <c r="D19" s="50">
        <f>D18*0.3</f>
        <v>4973.2570647738257</v>
      </c>
      <c r="F19" s="147" t="s">
        <v>20</v>
      </c>
      <c r="G19" s="148"/>
      <c r="H19" s="149"/>
      <c r="I19" s="50">
        <f>I18*0.3</f>
        <v>10642.712381140436</v>
      </c>
      <c r="K19" s="147" t="s">
        <v>20</v>
      </c>
      <c r="L19" s="148"/>
      <c r="M19" s="149"/>
      <c r="N19" s="50">
        <f t="shared" si="0"/>
        <v>15615.969445914263</v>
      </c>
    </row>
    <row r="20" spans="1:14" ht="17.25" thickBot="1">
      <c r="A20" s="159" t="s">
        <v>21</v>
      </c>
      <c r="B20" s="160"/>
      <c r="C20" s="161"/>
      <c r="D20" s="54">
        <f>D18-D19</f>
        <v>11604.26648447226</v>
      </c>
      <c r="F20" s="159" t="s">
        <v>21</v>
      </c>
      <c r="G20" s="160"/>
      <c r="H20" s="161"/>
      <c r="I20" s="54">
        <f>I18-I19</f>
        <v>24832.995555994348</v>
      </c>
      <c r="K20" s="159" t="s">
        <v>21</v>
      </c>
      <c r="L20" s="160"/>
      <c r="M20" s="161"/>
      <c r="N20" s="54">
        <f t="shared" si="0"/>
        <v>36437.262040466609</v>
      </c>
    </row>
    <row r="21" spans="1:14" ht="17.25" thickBot="1">
      <c r="A21" s="147" t="s">
        <v>11</v>
      </c>
      <c r="B21" s="148"/>
      <c r="C21" s="149"/>
      <c r="D21" s="50"/>
      <c r="F21" s="147" t="s">
        <v>11</v>
      </c>
      <c r="G21" s="148"/>
      <c r="H21" s="149"/>
      <c r="I21" s="50"/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11604.26648447226</v>
      </c>
      <c r="F22" s="150" t="s">
        <v>12</v>
      </c>
      <c r="G22" s="151"/>
      <c r="H22" s="152"/>
      <c r="I22" s="51">
        <f>I20-I21</f>
        <v>24832.995555994348</v>
      </c>
      <c r="K22" s="150" t="s">
        <v>12</v>
      </c>
      <c r="L22" s="151"/>
      <c r="M22" s="152"/>
      <c r="N22" s="51">
        <f t="shared" si="0"/>
        <v>36437.262040466609</v>
      </c>
    </row>
    <row r="23" spans="1:14" ht="17.25" thickBot="1">
      <c r="A23" s="150" t="s">
        <v>299</v>
      </c>
      <c r="B23" s="151" t="s">
        <v>299</v>
      </c>
      <c r="C23" s="152"/>
      <c r="D23" s="51">
        <v>24692</v>
      </c>
      <c r="F23" s="150" t="s">
        <v>299</v>
      </c>
      <c r="G23" s="151" t="s">
        <v>299</v>
      </c>
      <c r="H23" s="152"/>
      <c r="I23" s="51">
        <v>50327</v>
      </c>
      <c r="K23" s="150" t="s">
        <v>299</v>
      </c>
      <c r="L23" s="151" t="s">
        <v>299</v>
      </c>
      <c r="M23" s="152"/>
      <c r="N23" s="51">
        <f t="shared" si="0"/>
        <v>75019</v>
      </c>
    </row>
    <row r="24" spans="1:14" ht="17.25" thickBot="1">
      <c r="A24" s="150" t="s">
        <v>300</v>
      </c>
      <c r="B24" s="151" t="s">
        <v>300</v>
      </c>
      <c r="C24" s="152"/>
      <c r="D24" s="51">
        <f>SUM(D22:D23)</f>
        <v>36296.26648447226</v>
      </c>
      <c r="F24" s="150" t="s">
        <v>300</v>
      </c>
      <c r="G24" s="151" t="s">
        <v>300</v>
      </c>
      <c r="H24" s="152"/>
      <c r="I24" s="51">
        <f>SUM(I22:I23)</f>
        <v>75159.995555994348</v>
      </c>
      <c r="K24" s="150" t="s">
        <v>300</v>
      </c>
      <c r="L24" s="151" t="s">
        <v>300</v>
      </c>
      <c r="M24" s="152"/>
      <c r="N24" s="51">
        <f t="shared" si="0"/>
        <v>111456.26204046661</v>
      </c>
    </row>
    <row r="25" spans="1:14" ht="16.5">
      <c r="A25" s="12" t="s">
        <v>24</v>
      </c>
      <c r="B25" s="4"/>
      <c r="C25" s="4"/>
      <c r="D25" s="5"/>
      <c r="F25" s="12" t="s">
        <v>24</v>
      </c>
      <c r="G25" s="4"/>
      <c r="H25" s="4"/>
      <c r="I25" s="5"/>
    </row>
    <row r="26" spans="1:14">
      <c r="A26" s="15" t="s">
        <v>13</v>
      </c>
      <c r="B26" s="15" t="s">
        <v>29</v>
      </c>
      <c r="C26" s="15" t="s">
        <v>25</v>
      </c>
      <c r="D26" s="16" t="s">
        <v>7</v>
      </c>
      <c r="F26" s="15" t="s">
        <v>13</v>
      </c>
      <c r="G26" s="15" t="s">
        <v>29</v>
      </c>
      <c r="H26" s="15" t="s">
        <v>25</v>
      </c>
      <c r="I26" s="16" t="s">
        <v>7</v>
      </c>
    </row>
    <row r="27" spans="1:14" ht="24">
      <c r="A27" s="24" t="s">
        <v>176</v>
      </c>
      <c r="B27" s="25">
        <v>44843</v>
      </c>
      <c r="C27" s="26">
        <v>401014400996316</v>
      </c>
      <c r="D27" s="84">
        <v>8821.4599999999991</v>
      </c>
      <c r="F27" s="24" t="s">
        <v>180</v>
      </c>
      <c r="G27" s="25">
        <v>44843</v>
      </c>
      <c r="H27" s="26">
        <v>401014400996408</v>
      </c>
      <c r="I27" s="84">
        <v>14933.97</v>
      </c>
    </row>
    <row r="28" spans="1:14" ht="24">
      <c r="A28" s="24" t="s">
        <v>270</v>
      </c>
      <c r="B28" s="100">
        <v>2024</v>
      </c>
      <c r="C28" s="86" t="s">
        <v>177</v>
      </c>
      <c r="D28" s="84">
        <v>745.22</v>
      </c>
      <c r="F28" s="24" t="s">
        <v>181</v>
      </c>
      <c r="G28" s="25">
        <v>44920</v>
      </c>
      <c r="H28" s="26">
        <v>401014401138171</v>
      </c>
      <c r="I28" s="84">
        <v>7103</v>
      </c>
    </row>
    <row r="29" spans="1:14" ht="20.25" customHeight="1">
      <c r="A29" s="24" t="s">
        <v>271</v>
      </c>
      <c r="B29" s="25">
        <v>45637</v>
      </c>
      <c r="C29" s="26">
        <v>401014602669885</v>
      </c>
      <c r="D29" s="84">
        <v>15499.63</v>
      </c>
      <c r="F29" s="194" t="s">
        <v>55</v>
      </c>
      <c r="G29" s="195"/>
      <c r="H29" s="196"/>
      <c r="I29" s="88">
        <f>I27+I28</f>
        <v>22036.97</v>
      </c>
    </row>
    <row r="30" spans="1:14" ht="21.75" customHeight="1">
      <c r="A30" s="194" t="s">
        <v>55</v>
      </c>
      <c r="B30" s="195"/>
      <c r="C30" s="196"/>
      <c r="D30" s="87">
        <f>SUM(D27:D29)</f>
        <v>25066.309999999998</v>
      </c>
    </row>
  </sheetData>
  <mergeCells count="77">
    <mergeCell ref="F29:H29"/>
    <mergeCell ref="A30:C30"/>
    <mergeCell ref="K22:M2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F19:H19"/>
    <mergeCell ref="F20:H20"/>
    <mergeCell ref="F21:H21"/>
    <mergeCell ref="F22:H22"/>
    <mergeCell ref="K12:M12"/>
    <mergeCell ref="K1:N1"/>
    <mergeCell ref="K2:L2"/>
    <mergeCell ref="M2:N2"/>
    <mergeCell ref="K3:L3"/>
    <mergeCell ref="M3:N3"/>
    <mergeCell ref="K5:M5"/>
    <mergeCell ref="K6:M6"/>
    <mergeCell ref="K7:M7"/>
    <mergeCell ref="K9:M9"/>
    <mergeCell ref="K10:M10"/>
    <mergeCell ref="K11:M11"/>
    <mergeCell ref="K8:M8"/>
    <mergeCell ref="F15:H15"/>
    <mergeCell ref="F16:H16"/>
    <mergeCell ref="F17:H17"/>
    <mergeCell ref="F18:H18"/>
    <mergeCell ref="F14:H14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F10:H10"/>
    <mergeCell ref="F11:H11"/>
    <mergeCell ref="F12:H12"/>
    <mergeCell ref="F13:H13"/>
    <mergeCell ref="F8:H8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1:C11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8:C8"/>
    <mergeCell ref="A23:C23"/>
    <mergeCell ref="A24:C24"/>
    <mergeCell ref="F23:H23"/>
    <mergeCell ref="F24:H24"/>
    <mergeCell ref="K23:M23"/>
    <mergeCell ref="K24:M2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FBEB-7281-443B-BA0C-EBCEC2F0E00F}">
  <sheetPr>
    <tabColor rgb="FF66FFFF"/>
  </sheetPr>
  <dimension ref="A1:D27"/>
  <sheetViews>
    <sheetView rightToLeft="1" workbookViewId="0">
      <selection activeCell="D23" sqref="D23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189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190</v>
      </c>
      <c r="D2" s="137"/>
    </row>
    <row r="3" spans="1:4" ht="21" thickBot="1">
      <c r="A3" s="136" t="s">
        <v>2</v>
      </c>
      <c r="B3" s="136"/>
      <c r="C3" s="142" t="s">
        <v>191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47750.434782608703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47750.434782608703</v>
      </c>
    </row>
    <row r="10" spans="1:4" ht="17.25" thickBot="1">
      <c r="A10" s="147" t="s">
        <v>39</v>
      </c>
      <c r="B10" s="148"/>
      <c r="C10" s="149"/>
      <c r="D10" s="50">
        <v>184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213.50005855000001</v>
      </c>
    </row>
    <row r="13" spans="1:4" ht="17.25" thickBot="1">
      <c r="A13" s="147" t="s">
        <v>297</v>
      </c>
      <c r="B13" s="148"/>
      <c r="C13" s="149"/>
      <c r="D13" s="50">
        <v>2383.6999999999998</v>
      </c>
    </row>
    <row r="14" spans="1:4" ht="17.25" thickBot="1">
      <c r="A14" s="147" t="s">
        <v>43</v>
      </c>
      <c r="B14" s="148"/>
      <c r="C14" s="149"/>
      <c r="D14" s="50">
        <v>2553.7400000000002</v>
      </c>
    </row>
    <row r="15" spans="1:4" ht="17.25" thickBot="1">
      <c r="A15" s="147" t="s">
        <v>44</v>
      </c>
      <c r="B15" s="148"/>
      <c r="C15" s="149"/>
      <c r="D15" s="50">
        <v>711.53</v>
      </c>
    </row>
    <row r="16" spans="1:4" ht="17.25" thickBot="1">
      <c r="A16" s="147" t="s">
        <v>298</v>
      </c>
      <c r="B16" s="148"/>
      <c r="C16" s="149"/>
      <c r="D16" s="50">
        <v>851</v>
      </c>
    </row>
    <row r="17" spans="1:4" ht="17.25" thickBot="1">
      <c r="A17" s="153" t="s">
        <v>48</v>
      </c>
      <c r="B17" s="154"/>
      <c r="C17" s="155"/>
      <c r="D17" s="52">
        <f>SUM(D10:D16)</f>
        <v>6897.4700585500004</v>
      </c>
    </row>
    <row r="18" spans="1:4" ht="17.25" thickBot="1">
      <c r="A18" s="156" t="s">
        <v>10</v>
      </c>
      <c r="B18" s="157"/>
      <c r="C18" s="158"/>
      <c r="D18" s="53">
        <f>D9-D17</f>
        <v>40852.9647240587</v>
      </c>
    </row>
    <row r="19" spans="1:4" ht="17.25" thickBot="1">
      <c r="A19" s="147" t="s">
        <v>20</v>
      </c>
      <c r="B19" s="148"/>
      <c r="C19" s="149"/>
      <c r="D19" s="50">
        <f>D18*0.3</f>
        <v>12255.88941721761</v>
      </c>
    </row>
    <row r="20" spans="1:4" ht="17.25" thickBot="1">
      <c r="A20" s="159" t="s">
        <v>21</v>
      </c>
      <c r="B20" s="160"/>
      <c r="C20" s="161"/>
      <c r="D20" s="54">
        <f>D18-D19</f>
        <v>28597.075306841092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28597.075306841092</v>
      </c>
    </row>
    <row r="23" spans="1:4" ht="17.25" thickBot="1">
      <c r="A23" s="150" t="s">
        <v>299</v>
      </c>
      <c r="B23" s="151" t="s">
        <v>299</v>
      </c>
      <c r="C23" s="152"/>
      <c r="D23" s="50">
        <v>-3146.8290000000002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25450.246306841091</v>
      </c>
    </row>
    <row r="25" spans="1:4" ht="16.5">
      <c r="A25" s="12" t="s">
        <v>24</v>
      </c>
      <c r="B25" s="4"/>
      <c r="C25" s="4"/>
      <c r="D25" s="5"/>
    </row>
    <row r="26" spans="1:4">
      <c r="A26" s="15" t="s">
        <v>13</v>
      </c>
      <c r="B26" s="15" t="s">
        <v>14</v>
      </c>
      <c r="C26" s="15" t="s">
        <v>15</v>
      </c>
      <c r="D26" s="16" t="s">
        <v>16</v>
      </c>
    </row>
    <row r="27" spans="1:4" ht="33" customHeight="1">
      <c r="A27" s="24" t="s">
        <v>283</v>
      </c>
      <c r="B27" s="25">
        <v>45662</v>
      </c>
      <c r="C27" s="26">
        <v>401014602757213</v>
      </c>
      <c r="D27" s="84">
        <v>20212.8</v>
      </c>
    </row>
  </sheetData>
  <mergeCells count="25">
    <mergeCell ref="A23:C23"/>
    <mergeCell ref="A24:C24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1748-29C3-4C69-877F-13C763D2323C}">
  <sheetPr>
    <tabColor rgb="FF66FFFF"/>
  </sheetPr>
  <dimension ref="A1:D24"/>
  <sheetViews>
    <sheetView rightToLeft="1" workbookViewId="0">
      <selection activeCell="D24" sqref="D24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231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232</v>
      </c>
      <c r="D2" s="137"/>
    </row>
    <row r="3" spans="1:4" ht="21" thickBot="1">
      <c r="A3" s="136" t="s">
        <v>2</v>
      </c>
      <c r="B3" s="136"/>
      <c r="C3" s="142" t="s">
        <v>233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18060.434782608696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18060.434782608696</v>
      </c>
    </row>
    <row r="10" spans="1:4" ht="17.25" thickBot="1">
      <c r="A10" s="147" t="s">
        <v>39</v>
      </c>
      <c r="B10" s="148"/>
      <c r="C10" s="149"/>
      <c r="D10" s="50">
        <v>238.78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142.45310734</v>
      </c>
    </row>
    <row r="13" spans="1:4" ht="17.25" thickBot="1">
      <c r="A13" s="147" t="s">
        <v>297</v>
      </c>
      <c r="B13" s="148"/>
      <c r="C13" s="149"/>
      <c r="D13" s="50">
        <v>108.7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360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1725.84310734</v>
      </c>
    </row>
    <row r="18" spans="1:4" ht="17.25" thickBot="1">
      <c r="A18" s="156" t="s">
        <v>10</v>
      </c>
      <c r="B18" s="157"/>
      <c r="C18" s="158"/>
      <c r="D18" s="53">
        <f>D9-D17</f>
        <v>16334.591675268695</v>
      </c>
    </row>
    <row r="19" spans="1:4" ht="17.25" thickBot="1">
      <c r="A19" s="147" t="s">
        <v>20</v>
      </c>
      <c r="B19" s="148"/>
      <c r="C19" s="149"/>
      <c r="D19" s="50">
        <f>D18*0.3</f>
        <v>4900.3775025806081</v>
      </c>
    </row>
    <row r="20" spans="1:4" ht="17.25" thickBot="1">
      <c r="A20" s="159" t="s">
        <v>21</v>
      </c>
      <c r="B20" s="160"/>
      <c r="C20" s="161"/>
      <c r="D20" s="54">
        <f>D18-D19</f>
        <v>11434.214172688087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11434.214172688087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11434.214172688087</v>
      </c>
    </row>
  </sheetData>
  <mergeCells count="25"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3:C23"/>
    <mergeCell ref="A24:C24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95C0-4E44-4133-85A5-305154941BCD}">
  <sheetPr>
    <tabColor rgb="FF66FFFF"/>
  </sheetPr>
  <dimension ref="A1:D24"/>
  <sheetViews>
    <sheetView rightToLeft="1" workbookViewId="0">
      <selection sqref="A1:D1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</cols>
  <sheetData>
    <row r="1" spans="1:4" ht="18" thickBot="1">
      <c r="A1" s="135" t="s">
        <v>327</v>
      </c>
      <c r="B1" s="135"/>
      <c r="C1" s="135"/>
      <c r="D1" s="135"/>
    </row>
    <row r="2" spans="1:4" ht="18" thickBot="1">
      <c r="A2" s="136" t="s">
        <v>1</v>
      </c>
      <c r="B2" s="136"/>
      <c r="C2" s="137" t="s">
        <v>234</v>
      </c>
      <c r="D2" s="137"/>
    </row>
    <row r="3" spans="1:4" ht="21" thickBot="1">
      <c r="A3" s="136" t="s">
        <v>2</v>
      </c>
      <c r="B3" s="136"/>
      <c r="C3" s="142" t="s">
        <v>235</v>
      </c>
      <c r="D3" s="143"/>
    </row>
    <row r="4" spans="1:4" ht="15" thickBot="1">
      <c r="A4" s="4"/>
      <c r="B4" s="4"/>
      <c r="C4" s="4"/>
      <c r="D4" s="5"/>
    </row>
    <row r="5" spans="1:4" ht="17.25" thickBot="1">
      <c r="A5" s="144" t="s">
        <v>6</v>
      </c>
      <c r="B5" s="145"/>
      <c r="C5" s="146"/>
      <c r="D5" s="50" t="s">
        <v>7</v>
      </c>
    </row>
    <row r="6" spans="1:4" ht="17.25" thickBot="1">
      <c r="A6" s="147" t="s">
        <v>294</v>
      </c>
      <c r="B6" s="148"/>
      <c r="C6" s="149"/>
      <c r="D6" s="50">
        <v>17792.165217391306</v>
      </c>
    </row>
    <row r="7" spans="1:4" ht="17.25" thickBot="1">
      <c r="A7" s="147" t="s">
        <v>295</v>
      </c>
      <c r="B7" s="148"/>
      <c r="C7" s="149"/>
      <c r="D7" s="50">
        <v>0</v>
      </c>
    </row>
    <row r="8" spans="1:4" ht="17.25" thickBot="1">
      <c r="A8" s="147" t="s">
        <v>296</v>
      </c>
      <c r="B8" s="148"/>
      <c r="C8" s="149"/>
      <c r="D8" s="50">
        <v>0</v>
      </c>
    </row>
    <row r="9" spans="1:4" ht="17.25" thickBot="1">
      <c r="A9" s="150" t="s">
        <v>9</v>
      </c>
      <c r="B9" s="151"/>
      <c r="C9" s="152"/>
      <c r="D9" s="51">
        <f>SUM(D6:D8)</f>
        <v>17792.165217391306</v>
      </c>
    </row>
    <row r="10" spans="1:4" ht="17.25" thickBot="1">
      <c r="A10" s="147" t="s">
        <v>39</v>
      </c>
      <c r="B10" s="148"/>
      <c r="C10" s="149"/>
      <c r="D10" s="50">
        <v>46</v>
      </c>
    </row>
    <row r="11" spans="1:4" ht="17.25" thickBot="1">
      <c r="A11" s="147" t="s">
        <v>40</v>
      </c>
      <c r="B11" s="148"/>
      <c r="C11" s="149"/>
      <c r="D11" s="50">
        <v>0</v>
      </c>
    </row>
    <row r="12" spans="1:4" ht="17.25" thickBot="1">
      <c r="A12" s="147" t="s">
        <v>41</v>
      </c>
      <c r="B12" s="148"/>
      <c r="C12" s="149"/>
      <c r="D12" s="50">
        <v>154.20680694000001</v>
      </c>
    </row>
    <row r="13" spans="1:4" ht="17.25" thickBot="1">
      <c r="A13" s="147" t="s">
        <v>297</v>
      </c>
      <c r="B13" s="148"/>
      <c r="C13" s="149"/>
      <c r="D13" s="50">
        <v>434.78</v>
      </c>
    </row>
    <row r="14" spans="1:4" ht="17.25" thickBot="1">
      <c r="A14" s="147" t="s">
        <v>43</v>
      </c>
      <c r="B14" s="148"/>
      <c r="C14" s="149"/>
      <c r="D14" s="50">
        <v>875.91</v>
      </c>
    </row>
    <row r="15" spans="1:4" ht="17.25" thickBot="1">
      <c r="A15" s="147" t="s">
        <v>44</v>
      </c>
      <c r="B15" s="148"/>
      <c r="C15" s="149"/>
      <c r="D15" s="50">
        <v>415.76</v>
      </c>
    </row>
    <row r="16" spans="1:4" ht="17.25" thickBot="1">
      <c r="A16" s="147" t="s">
        <v>298</v>
      </c>
      <c r="B16" s="148"/>
      <c r="C16" s="149"/>
      <c r="D16" s="50">
        <v>0</v>
      </c>
    </row>
    <row r="17" spans="1:4" ht="17.25" thickBot="1">
      <c r="A17" s="153" t="s">
        <v>48</v>
      </c>
      <c r="B17" s="154"/>
      <c r="C17" s="155"/>
      <c r="D17" s="52">
        <f>SUM(D10:D16)</f>
        <v>1926.6568069399998</v>
      </c>
    </row>
    <row r="18" spans="1:4" ht="17.25" thickBot="1">
      <c r="A18" s="156" t="s">
        <v>10</v>
      </c>
      <c r="B18" s="157"/>
      <c r="C18" s="158"/>
      <c r="D18" s="53">
        <f>D9-D17</f>
        <v>15865.508410451306</v>
      </c>
    </row>
    <row r="19" spans="1:4" ht="17.25" thickBot="1">
      <c r="A19" s="147" t="s">
        <v>20</v>
      </c>
      <c r="B19" s="148"/>
      <c r="C19" s="149"/>
      <c r="D19" s="50">
        <f>D18*0.3</f>
        <v>4759.6525231353917</v>
      </c>
    </row>
    <row r="20" spans="1:4" ht="17.25" thickBot="1">
      <c r="A20" s="159" t="s">
        <v>21</v>
      </c>
      <c r="B20" s="160"/>
      <c r="C20" s="161"/>
      <c r="D20" s="54">
        <f>D18-D19</f>
        <v>11105.855887315915</v>
      </c>
    </row>
    <row r="21" spans="1:4" ht="17.25" thickBot="1">
      <c r="A21" s="147" t="s">
        <v>11</v>
      </c>
      <c r="B21" s="148"/>
      <c r="C21" s="149"/>
      <c r="D21" s="50">
        <v>0</v>
      </c>
    </row>
    <row r="22" spans="1:4" ht="17.25" thickBot="1">
      <c r="A22" s="150" t="s">
        <v>12</v>
      </c>
      <c r="B22" s="151"/>
      <c r="C22" s="152"/>
      <c r="D22" s="51">
        <f>D20-D21</f>
        <v>11105.855887315915</v>
      </c>
    </row>
    <row r="23" spans="1:4" ht="17.25" thickBot="1">
      <c r="A23" s="150" t="s">
        <v>299</v>
      </c>
      <c r="B23" s="151" t="s">
        <v>299</v>
      </c>
      <c r="C23" s="152"/>
      <c r="D23" s="51">
        <v>0</v>
      </c>
    </row>
    <row r="24" spans="1:4" ht="17.25" thickBot="1">
      <c r="A24" s="150" t="s">
        <v>300</v>
      </c>
      <c r="B24" s="151" t="s">
        <v>300</v>
      </c>
      <c r="C24" s="152"/>
      <c r="D24" s="51">
        <f>SUM(D22:D23)</f>
        <v>11105.855887315915</v>
      </c>
    </row>
  </sheetData>
  <mergeCells count="25"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3:C23"/>
    <mergeCell ref="A24:C24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4EC1-0B99-4055-AC20-C7781F170D28}">
  <dimension ref="A1:N24"/>
  <sheetViews>
    <sheetView rightToLeft="1" workbookViewId="0">
      <selection activeCell="G4" sqref="A3:I6"/>
    </sheetView>
  </sheetViews>
  <sheetFormatPr defaultColWidth="8.875" defaultRowHeight="14.25"/>
  <cols>
    <col min="1" max="1" width="18" customWidth="1"/>
    <col min="2" max="2" width="12.625" customWidth="1"/>
    <col min="3" max="3" width="16.625" customWidth="1"/>
    <col min="4" max="4" width="13.375" customWidth="1"/>
    <col min="5" max="5" width="1.5" style="1" customWidth="1"/>
    <col min="6" max="6" width="18" customWidth="1"/>
    <col min="7" max="7" width="12.625" customWidth="1"/>
    <col min="8" max="8" width="16.625" customWidth="1"/>
    <col min="9" max="9" width="13.375" customWidth="1"/>
    <col min="10" max="10" width="1.625" style="65" customWidth="1"/>
    <col min="11" max="11" width="18" customWidth="1"/>
    <col min="12" max="12" width="12.625" customWidth="1"/>
    <col min="13" max="13" width="16.625" customWidth="1"/>
    <col min="14" max="14" width="13.375" customWidth="1"/>
  </cols>
  <sheetData>
    <row r="1" spans="1:14" ht="18" thickBot="1">
      <c r="A1" s="135" t="s">
        <v>223</v>
      </c>
      <c r="B1" s="135"/>
      <c r="C1" s="135"/>
      <c r="D1" s="135"/>
      <c r="F1" s="135" t="s">
        <v>223</v>
      </c>
      <c r="G1" s="135"/>
      <c r="H1" s="135"/>
      <c r="I1" s="135"/>
      <c r="K1" s="135" t="s">
        <v>223</v>
      </c>
      <c r="L1" s="135"/>
      <c r="M1" s="135"/>
      <c r="N1" s="135"/>
    </row>
    <row r="2" spans="1:14" ht="18" thickBot="1">
      <c r="A2" s="136" t="s">
        <v>1</v>
      </c>
      <c r="B2" s="136"/>
      <c r="C2" s="137" t="s">
        <v>224</v>
      </c>
      <c r="D2" s="137"/>
      <c r="E2" s="46"/>
      <c r="F2" s="136" t="s">
        <v>1</v>
      </c>
      <c r="G2" s="136"/>
      <c r="H2" s="137" t="s">
        <v>224</v>
      </c>
      <c r="I2" s="137"/>
      <c r="J2" s="72"/>
      <c r="K2" s="136" t="s">
        <v>1</v>
      </c>
      <c r="L2" s="136"/>
      <c r="M2" s="137"/>
      <c r="N2" s="137"/>
    </row>
    <row r="3" spans="1:14" ht="21" thickBot="1">
      <c r="A3" s="136" t="s">
        <v>2</v>
      </c>
      <c r="B3" s="136"/>
      <c r="C3" s="142" t="s">
        <v>225</v>
      </c>
      <c r="D3" s="143"/>
      <c r="E3" s="197"/>
      <c r="F3" s="136" t="s">
        <v>2</v>
      </c>
      <c r="G3" s="136"/>
      <c r="H3" s="142" t="s">
        <v>226</v>
      </c>
      <c r="I3" s="143"/>
      <c r="J3" s="73"/>
      <c r="K3" s="136" t="s">
        <v>2</v>
      </c>
      <c r="L3" s="136"/>
      <c r="M3" s="142" t="str">
        <f>H3&amp;" - " &amp;C3</f>
        <v>ر ك س 3568 - ر ك س 3495</v>
      </c>
      <c r="N3" s="143"/>
    </row>
    <row r="4" spans="1:14" ht="15" thickBot="1">
      <c r="A4" s="4"/>
      <c r="B4" s="4"/>
      <c r="C4" s="4" t="s">
        <v>284</v>
      </c>
      <c r="D4" s="71">
        <v>45403</v>
      </c>
      <c r="E4" s="197"/>
      <c r="F4" s="4"/>
      <c r="G4" s="4"/>
      <c r="H4" s="4" t="s">
        <v>284</v>
      </c>
      <c r="I4" s="71">
        <v>45412</v>
      </c>
      <c r="K4" s="4"/>
      <c r="L4" s="4"/>
      <c r="M4" s="4"/>
      <c r="N4" s="5"/>
    </row>
    <row r="5" spans="1:14" ht="17.25" thickBot="1">
      <c r="A5" s="144" t="s">
        <v>6</v>
      </c>
      <c r="B5" s="145"/>
      <c r="C5" s="146"/>
      <c r="D5" s="50" t="s">
        <v>7</v>
      </c>
      <c r="F5" s="144" t="s">
        <v>6</v>
      </c>
      <c r="G5" s="145"/>
      <c r="H5" s="146"/>
      <c r="I5" s="50" t="s">
        <v>7</v>
      </c>
      <c r="K5" s="144" t="s">
        <v>6</v>
      </c>
      <c r="L5" s="145"/>
      <c r="M5" s="146"/>
      <c r="N5" s="50" t="s">
        <v>7</v>
      </c>
    </row>
    <row r="6" spans="1:14" ht="17.25" thickBot="1">
      <c r="A6" s="147" t="s">
        <v>294</v>
      </c>
      <c r="B6" s="148"/>
      <c r="C6" s="149"/>
      <c r="D6" s="50">
        <v>16094.843478260871</v>
      </c>
      <c r="F6" s="147" t="s">
        <v>294</v>
      </c>
      <c r="G6" s="148"/>
      <c r="H6" s="149"/>
      <c r="I6" s="50">
        <v>15024.930434782611</v>
      </c>
      <c r="K6" s="147" t="s">
        <v>294</v>
      </c>
      <c r="L6" s="148"/>
      <c r="M6" s="149"/>
      <c r="N6" s="50">
        <f>I6+D6</f>
        <v>31119.773913043482</v>
      </c>
    </row>
    <row r="7" spans="1:14" ht="17.25" thickBot="1">
      <c r="A7" s="147" t="s">
        <v>295</v>
      </c>
      <c r="B7" s="148"/>
      <c r="C7" s="149"/>
      <c r="D7" s="50">
        <v>0</v>
      </c>
      <c r="F7" s="147" t="s">
        <v>295</v>
      </c>
      <c r="G7" s="148"/>
      <c r="H7" s="149"/>
      <c r="I7" s="50">
        <v>0</v>
      </c>
      <c r="K7" s="147" t="s">
        <v>295</v>
      </c>
      <c r="L7" s="148"/>
      <c r="M7" s="149"/>
      <c r="N7" s="50">
        <f t="shared" ref="N7:N24" si="0">I7+D7</f>
        <v>0</v>
      </c>
    </row>
    <row r="8" spans="1:14" ht="17.25" thickBot="1">
      <c r="A8" s="147" t="s">
        <v>296</v>
      </c>
      <c r="B8" s="148"/>
      <c r="C8" s="149"/>
      <c r="D8" s="50">
        <v>0</v>
      </c>
      <c r="F8" s="147" t="s">
        <v>296</v>
      </c>
      <c r="G8" s="148"/>
      <c r="H8" s="149"/>
      <c r="I8" s="50">
        <v>0</v>
      </c>
      <c r="K8" s="147" t="s">
        <v>296</v>
      </c>
      <c r="L8" s="148"/>
      <c r="M8" s="149"/>
      <c r="N8" s="50">
        <f t="shared" si="0"/>
        <v>0</v>
      </c>
    </row>
    <row r="9" spans="1:14" ht="17.25" thickBot="1">
      <c r="A9" s="150" t="s">
        <v>9</v>
      </c>
      <c r="B9" s="151"/>
      <c r="C9" s="152"/>
      <c r="D9" s="51">
        <f>SUM(D6:D8)</f>
        <v>16094.843478260871</v>
      </c>
      <c r="F9" s="150" t="s">
        <v>9</v>
      </c>
      <c r="G9" s="151"/>
      <c r="H9" s="152"/>
      <c r="I9" s="51">
        <f>SUM(I6:I8)</f>
        <v>15024.930434782611</v>
      </c>
      <c r="K9" s="150" t="s">
        <v>9</v>
      </c>
      <c r="L9" s="151"/>
      <c r="M9" s="152"/>
      <c r="N9" s="51">
        <f t="shared" si="0"/>
        <v>31119.773913043482</v>
      </c>
    </row>
    <row r="10" spans="1:14" ht="17.25" thickBot="1">
      <c r="A10" s="147" t="s">
        <v>39</v>
      </c>
      <c r="B10" s="148"/>
      <c r="C10" s="149"/>
      <c r="D10" s="50">
        <v>63.39</v>
      </c>
      <c r="F10" s="147" t="s">
        <v>39</v>
      </c>
      <c r="G10" s="148"/>
      <c r="H10" s="149"/>
      <c r="I10" s="50">
        <v>46</v>
      </c>
      <c r="K10" s="147" t="s">
        <v>39</v>
      </c>
      <c r="L10" s="148"/>
      <c r="M10" s="149"/>
      <c r="N10" s="50">
        <f t="shared" si="0"/>
        <v>109.39</v>
      </c>
    </row>
    <row r="11" spans="1:14" ht="17.25" thickBot="1">
      <c r="A11" s="147" t="s">
        <v>40</v>
      </c>
      <c r="B11" s="148"/>
      <c r="C11" s="149"/>
      <c r="D11" s="50">
        <v>0</v>
      </c>
      <c r="F11" s="147" t="s">
        <v>40</v>
      </c>
      <c r="G11" s="148"/>
      <c r="H11" s="149"/>
      <c r="I11" s="50">
        <v>0</v>
      </c>
      <c r="K11" s="147" t="s">
        <v>40</v>
      </c>
      <c r="L11" s="148"/>
      <c r="M11" s="149"/>
      <c r="N11" s="50">
        <f t="shared" si="0"/>
        <v>0</v>
      </c>
    </row>
    <row r="12" spans="1:14" ht="17.25" thickBot="1">
      <c r="A12" s="147" t="s">
        <v>41</v>
      </c>
      <c r="B12" s="148"/>
      <c r="C12" s="149"/>
      <c r="D12" s="50">
        <v>141.47600610500001</v>
      </c>
      <c r="F12" s="147" t="s">
        <v>41</v>
      </c>
      <c r="G12" s="148"/>
      <c r="H12" s="149"/>
      <c r="I12" s="50">
        <v>117.37999045000001</v>
      </c>
      <c r="K12" s="147" t="s">
        <v>41</v>
      </c>
      <c r="L12" s="148"/>
      <c r="M12" s="149"/>
      <c r="N12" s="50">
        <f t="shared" si="0"/>
        <v>258.85599655500005</v>
      </c>
    </row>
    <row r="13" spans="1:14" ht="17.25" thickBot="1">
      <c r="A13" s="147" t="s">
        <v>297</v>
      </c>
      <c r="B13" s="148"/>
      <c r="C13" s="149"/>
      <c r="D13" s="50">
        <v>0</v>
      </c>
      <c r="F13" s="147" t="s">
        <v>297</v>
      </c>
      <c r="G13" s="148"/>
      <c r="H13" s="149"/>
      <c r="I13" s="50">
        <v>0</v>
      </c>
      <c r="K13" s="147" t="s">
        <v>297</v>
      </c>
      <c r="L13" s="148"/>
      <c r="M13" s="149"/>
      <c r="N13" s="50">
        <f t="shared" si="0"/>
        <v>0</v>
      </c>
    </row>
    <row r="14" spans="1:14" ht="17.25" thickBot="1">
      <c r="A14" s="147" t="s">
        <v>43</v>
      </c>
      <c r="B14" s="148"/>
      <c r="C14" s="149"/>
      <c r="D14" s="50">
        <v>875.91</v>
      </c>
      <c r="F14" s="147" t="s">
        <v>43</v>
      </c>
      <c r="G14" s="148"/>
      <c r="H14" s="149"/>
      <c r="I14" s="50">
        <v>875.91</v>
      </c>
      <c r="K14" s="147" t="s">
        <v>43</v>
      </c>
      <c r="L14" s="148"/>
      <c r="M14" s="149"/>
      <c r="N14" s="50">
        <f t="shared" si="0"/>
        <v>1751.82</v>
      </c>
    </row>
    <row r="15" spans="1:14" ht="17.25" thickBot="1">
      <c r="A15" s="147" t="s">
        <v>44</v>
      </c>
      <c r="B15" s="148"/>
      <c r="C15" s="149"/>
      <c r="D15" s="50">
        <v>240</v>
      </c>
      <c r="F15" s="147" t="s">
        <v>44</v>
      </c>
      <c r="G15" s="148"/>
      <c r="H15" s="149"/>
      <c r="I15" s="50">
        <v>375</v>
      </c>
      <c r="K15" s="147" t="s">
        <v>44</v>
      </c>
      <c r="L15" s="148"/>
      <c r="M15" s="149"/>
      <c r="N15" s="50">
        <f t="shared" si="0"/>
        <v>615</v>
      </c>
    </row>
    <row r="16" spans="1:14" ht="17.25" thickBot="1">
      <c r="A16" s="147" t="s">
        <v>298</v>
      </c>
      <c r="B16" s="148"/>
      <c r="C16" s="149"/>
      <c r="D16" s="50">
        <v>0</v>
      </c>
      <c r="F16" s="147" t="s">
        <v>298</v>
      </c>
      <c r="G16" s="148"/>
      <c r="H16" s="149"/>
      <c r="I16" s="50">
        <v>0</v>
      </c>
      <c r="K16" s="147" t="s">
        <v>298</v>
      </c>
      <c r="L16" s="148"/>
      <c r="M16" s="149"/>
      <c r="N16" s="50">
        <f t="shared" si="0"/>
        <v>0</v>
      </c>
    </row>
    <row r="17" spans="1:14" ht="17.25" thickBot="1">
      <c r="A17" s="153" t="s">
        <v>48</v>
      </c>
      <c r="B17" s="154"/>
      <c r="C17" s="155"/>
      <c r="D17" s="52">
        <f>SUM(D10:D16)</f>
        <v>1320.7760061049999</v>
      </c>
      <c r="F17" s="153" t="s">
        <v>48</v>
      </c>
      <c r="G17" s="154"/>
      <c r="H17" s="155"/>
      <c r="I17" s="52">
        <f>SUM(I10:I16)</f>
        <v>1414.28999045</v>
      </c>
      <c r="K17" s="153" t="s">
        <v>48</v>
      </c>
      <c r="L17" s="154"/>
      <c r="M17" s="155"/>
      <c r="N17" s="52">
        <f t="shared" si="0"/>
        <v>2735.0659965549999</v>
      </c>
    </row>
    <row r="18" spans="1:14" ht="17.25" thickBot="1">
      <c r="A18" s="156" t="s">
        <v>10</v>
      </c>
      <c r="B18" s="157"/>
      <c r="C18" s="158"/>
      <c r="D18" s="53">
        <f>D9-D17</f>
        <v>14774.067472155872</v>
      </c>
      <c r="F18" s="156" t="s">
        <v>10</v>
      </c>
      <c r="G18" s="157"/>
      <c r="H18" s="158"/>
      <c r="I18" s="53">
        <f>I9-I17</f>
        <v>13610.64044433261</v>
      </c>
      <c r="K18" s="156" t="s">
        <v>10</v>
      </c>
      <c r="L18" s="157"/>
      <c r="M18" s="158"/>
      <c r="N18" s="53">
        <f t="shared" si="0"/>
        <v>28384.707916488482</v>
      </c>
    </row>
    <row r="19" spans="1:14" ht="17.25" thickBot="1">
      <c r="A19" s="147" t="s">
        <v>20</v>
      </c>
      <c r="B19" s="148"/>
      <c r="C19" s="149"/>
      <c r="D19" s="50">
        <f>D18*0.3</f>
        <v>4432.2202416467617</v>
      </c>
      <c r="F19" s="147" t="s">
        <v>20</v>
      </c>
      <c r="G19" s="148"/>
      <c r="H19" s="149"/>
      <c r="I19" s="50">
        <f>I18*0.3</f>
        <v>4083.1921332997827</v>
      </c>
      <c r="K19" s="147" t="s">
        <v>20</v>
      </c>
      <c r="L19" s="148"/>
      <c r="M19" s="149"/>
      <c r="N19" s="50">
        <f t="shared" si="0"/>
        <v>8515.4123749465434</v>
      </c>
    </row>
    <row r="20" spans="1:14" ht="17.25" thickBot="1">
      <c r="A20" s="159" t="s">
        <v>21</v>
      </c>
      <c r="B20" s="160"/>
      <c r="C20" s="161"/>
      <c r="D20" s="54">
        <f>D18-D19</f>
        <v>10341.847230509109</v>
      </c>
      <c r="F20" s="159" t="s">
        <v>21</v>
      </c>
      <c r="G20" s="160"/>
      <c r="H20" s="161"/>
      <c r="I20" s="54">
        <f>I18-I19</f>
        <v>9527.4483110328274</v>
      </c>
      <c r="K20" s="159" t="s">
        <v>21</v>
      </c>
      <c r="L20" s="160"/>
      <c r="M20" s="161"/>
      <c r="N20" s="54">
        <f t="shared" si="0"/>
        <v>19869.295541541935</v>
      </c>
    </row>
    <row r="21" spans="1:14" ht="17.25" thickBot="1">
      <c r="A21" s="147" t="s">
        <v>11</v>
      </c>
      <c r="B21" s="148"/>
      <c r="C21" s="149"/>
      <c r="D21" s="50">
        <v>0</v>
      </c>
      <c r="F21" s="147" t="s">
        <v>11</v>
      </c>
      <c r="G21" s="148"/>
      <c r="H21" s="149"/>
      <c r="I21" s="50">
        <v>0</v>
      </c>
      <c r="K21" s="147" t="s">
        <v>11</v>
      </c>
      <c r="L21" s="148"/>
      <c r="M21" s="149"/>
      <c r="N21" s="50">
        <f t="shared" si="0"/>
        <v>0</v>
      </c>
    </row>
    <row r="22" spans="1:14" ht="17.25" thickBot="1">
      <c r="A22" s="150" t="s">
        <v>12</v>
      </c>
      <c r="B22" s="151"/>
      <c r="C22" s="152"/>
      <c r="D22" s="51">
        <f>D20-D21</f>
        <v>10341.847230509109</v>
      </c>
      <c r="F22" s="150" t="s">
        <v>12</v>
      </c>
      <c r="G22" s="151"/>
      <c r="H22" s="152"/>
      <c r="I22" s="51">
        <f>I20-I21</f>
        <v>9527.4483110328274</v>
      </c>
      <c r="K22" s="150" t="s">
        <v>12</v>
      </c>
      <c r="L22" s="151"/>
      <c r="M22" s="152"/>
      <c r="N22" s="51">
        <f t="shared" si="0"/>
        <v>19869.295541541935</v>
      </c>
    </row>
    <row r="23" spans="1:14" ht="17.25" thickBot="1">
      <c r="A23" s="150" t="s">
        <v>299</v>
      </c>
      <c r="B23" s="151" t="s">
        <v>299</v>
      </c>
      <c r="C23" s="152"/>
      <c r="D23" s="51">
        <v>0</v>
      </c>
      <c r="F23" s="150" t="s">
        <v>299</v>
      </c>
      <c r="G23" s="151" t="s">
        <v>299</v>
      </c>
      <c r="H23" s="152"/>
      <c r="I23" s="51">
        <v>0</v>
      </c>
      <c r="K23" s="150" t="s">
        <v>299</v>
      </c>
      <c r="L23" s="151" t="s">
        <v>299</v>
      </c>
      <c r="M23" s="152"/>
      <c r="N23" s="51">
        <f t="shared" si="0"/>
        <v>0</v>
      </c>
    </row>
    <row r="24" spans="1:14" ht="17.25" thickBot="1">
      <c r="A24" s="150" t="s">
        <v>300</v>
      </c>
      <c r="B24" s="151" t="s">
        <v>300</v>
      </c>
      <c r="C24" s="152"/>
      <c r="D24" s="51">
        <f>SUM(D22:D23)</f>
        <v>10341.847230509109</v>
      </c>
      <c r="F24" s="150" t="s">
        <v>300</v>
      </c>
      <c r="G24" s="151" t="s">
        <v>300</v>
      </c>
      <c r="H24" s="152"/>
      <c r="I24" s="51">
        <f>SUM(I22:I23)</f>
        <v>9527.4483110328274</v>
      </c>
      <c r="K24" s="150" t="s">
        <v>300</v>
      </c>
      <c r="L24" s="151" t="s">
        <v>300</v>
      </c>
      <c r="M24" s="152"/>
      <c r="N24" s="51">
        <f t="shared" si="0"/>
        <v>19869.295541541935</v>
      </c>
    </row>
  </sheetData>
  <mergeCells count="76">
    <mergeCell ref="A12:C12"/>
    <mergeCell ref="A1:D1"/>
    <mergeCell ref="A2:B2"/>
    <mergeCell ref="C2:D2"/>
    <mergeCell ref="A3:B3"/>
    <mergeCell ref="C3:D3"/>
    <mergeCell ref="A5:C5"/>
    <mergeCell ref="A6:C6"/>
    <mergeCell ref="A7:C7"/>
    <mergeCell ref="A9:C9"/>
    <mergeCell ref="A10:C10"/>
    <mergeCell ref="A11:C11"/>
    <mergeCell ref="A8:C8"/>
    <mergeCell ref="A22:C2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F12:H12"/>
    <mergeCell ref="F1:I1"/>
    <mergeCell ref="F2:G2"/>
    <mergeCell ref="H2:I2"/>
    <mergeCell ref="F3:G3"/>
    <mergeCell ref="H3:I3"/>
    <mergeCell ref="F5:H5"/>
    <mergeCell ref="F6:H6"/>
    <mergeCell ref="F7:H7"/>
    <mergeCell ref="F9:H9"/>
    <mergeCell ref="F10:H10"/>
    <mergeCell ref="F11:H11"/>
    <mergeCell ref="F8:H8"/>
    <mergeCell ref="F22:H2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E3:E4"/>
    <mergeCell ref="K1:N1"/>
    <mergeCell ref="K2:L2"/>
    <mergeCell ref="M2:N2"/>
    <mergeCell ref="K3:L3"/>
    <mergeCell ref="M3:N3"/>
    <mergeCell ref="K15:M15"/>
    <mergeCell ref="K5:M5"/>
    <mergeCell ref="K6:M6"/>
    <mergeCell ref="K7:M7"/>
    <mergeCell ref="K9:M9"/>
    <mergeCell ref="K10:M10"/>
    <mergeCell ref="K11:M11"/>
    <mergeCell ref="K12:M12"/>
    <mergeCell ref="K13:M13"/>
    <mergeCell ref="K14:M14"/>
    <mergeCell ref="K8:M8"/>
    <mergeCell ref="K22:M22"/>
    <mergeCell ref="K16:M16"/>
    <mergeCell ref="K17:M17"/>
    <mergeCell ref="K18:M18"/>
    <mergeCell ref="K19:M19"/>
    <mergeCell ref="K20:M20"/>
    <mergeCell ref="K21:M21"/>
    <mergeCell ref="A23:C23"/>
    <mergeCell ref="A24:C24"/>
    <mergeCell ref="F23:H23"/>
    <mergeCell ref="F24:H24"/>
    <mergeCell ref="K23:M23"/>
    <mergeCell ref="K24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37</vt:i4>
      </vt:variant>
    </vt:vector>
  </HeadingPairs>
  <TitlesOfParts>
    <vt:vector size="37" baseType="lpstr">
      <vt:lpstr>قائمة المستثمرين</vt:lpstr>
      <vt:lpstr>عبيدالله العوفى</vt:lpstr>
      <vt:lpstr>سامي عبيد الله العوفي</vt:lpstr>
      <vt:lpstr>احمد عبيدالله</vt:lpstr>
      <vt:lpstr>مقبل ناجي عوض العلوني</vt:lpstr>
      <vt:lpstr>فايز رابح الشاماني</vt:lpstr>
      <vt:lpstr>احمد الشاماني</vt:lpstr>
      <vt:lpstr>غازي ناير الجهني</vt:lpstr>
      <vt:lpstr>رائد الحسيني</vt:lpstr>
      <vt:lpstr>مرام الصاعدي</vt:lpstr>
      <vt:lpstr>بدرية الصاعدي</vt:lpstr>
      <vt:lpstr>روان مسعد</vt:lpstr>
      <vt:lpstr>اميره +نسرين الصاعدي</vt:lpstr>
      <vt:lpstr>نوال حمدان</vt:lpstr>
      <vt:lpstr> وليد نافع العوفي</vt:lpstr>
      <vt:lpstr>فهد الاحمدي</vt:lpstr>
      <vt:lpstr>نوف عبيدالله مبارك العوفي </vt:lpstr>
      <vt:lpstr>ايلان العوفي </vt:lpstr>
      <vt:lpstr>عبدالوهاب سليم</vt:lpstr>
      <vt:lpstr>سلطان عواد الدبيسي</vt:lpstr>
      <vt:lpstr>لانا العوفي</vt:lpstr>
      <vt:lpstr> مريم مسعد الصاعدي</vt:lpstr>
      <vt:lpstr>فهد الغامدي</vt:lpstr>
      <vt:lpstr>ام عبدالرحمن</vt:lpstr>
      <vt:lpstr>نادر سليم الرشيدي </vt:lpstr>
      <vt:lpstr> فهد منيف الحربي</vt:lpstr>
      <vt:lpstr> بدور عبيد الله العوفي </vt:lpstr>
      <vt:lpstr>عبدالرحمن محمد خضر الصاعدي</vt:lpstr>
      <vt:lpstr> سعيد سلطان الشهراني</vt:lpstr>
      <vt:lpstr>غيث العوفي</vt:lpstr>
      <vt:lpstr>غلا العوفي</vt:lpstr>
      <vt:lpstr>حنان حمدان</vt:lpstr>
      <vt:lpstr>ابو غلا + أبو لانا</vt:lpstr>
      <vt:lpstr>عبدالرحمن حمدان العوفي</vt:lpstr>
      <vt:lpstr>رايد حمدان العلوني الجهني</vt:lpstr>
      <vt:lpstr>ماطر ناير راشد العلواني الجهني</vt:lpstr>
      <vt:lpstr>ملك عبدالرحمن العوفى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Shawky</dc:creator>
  <cp:lastModifiedBy>الاستقدام</cp:lastModifiedBy>
  <cp:lastPrinted>2025-02-09T13:58:37Z</cp:lastPrinted>
  <dcterms:created xsi:type="dcterms:W3CDTF">2025-01-13T12:15:27Z</dcterms:created>
  <dcterms:modified xsi:type="dcterms:W3CDTF">2025-05-27T09:00:56Z</dcterms:modified>
</cp:coreProperties>
</file>